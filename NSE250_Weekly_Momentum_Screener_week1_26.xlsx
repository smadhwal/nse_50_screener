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smadhwalgmail.com/Sanjay/Projects/nse_screener/"/>
    </mc:Choice>
  </mc:AlternateContent>
  <xr:revisionPtr revIDLastSave="0" documentId="13_ncr:1_{64CF6D6B-3E8C-6E49-BC48-B8F767F2AD74}" xr6:coauthVersionLast="47" xr6:coauthVersionMax="47" xr10:uidLastSave="{00000000-0000-0000-0000-000000000000}"/>
  <bookViews>
    <workbookView xWindow="3740" yWindow="660" windowWidth="29400" windowHeight="16660" activeTab="9" xr2:uid="{00000000-000D-0000-FFFF-FFFF00000000}"/>
  </bookViews>
  <sheets>
    <sheet name="BUY" sheetId="1" r:id="rId1"/>
    <sheet name="WAIT" sheetId="2" r:id="rId2"/>
    <sheet name="AVOID" sheetId="3" r:id="rId3"/>
    <sheet name="Signals_Mon5_1_26" sheetId="5" r:id="rId4"/>
    <sheet name="Signals_Wed_evening" sheetId="6" r:id="rId5"/>
    <sheet name="Signals_Friday_morning" sheetId="7" r:id="rId6"/>
    <sheet name="Postions" sheetId="8" r:id="rId7"/>
    <sheet name="BUY_week2" sheetId="9" r:id="rId8"/>
    <sheet name="WAIT week2" sheetId="10" r:id="rId9"/>
    <sheet name="AVOID (2)" sheetId="11" r:id="rId10"/>
  </sheets>
  <definedNames>
    <definedName name="_xlnm._FilterDatabase" localSheetId="9" hidden="1">'AVOID (2)'!$A$1:$W$40</definedName>
    <definedName name="_xlnm._FilterDatabase" localSheetId="3" hidden="1">Signals_Mon5_1_26!$A$1:$S$58</definedName>
    <definedName name="_xlnm._FilterDatabase" localSheetId="1" hidden="1">WAIT!$A$1:$S$61</definedName>
    <definedName name="_xlnm._FilterDatabase" localSheetId="8" hidden="1">'WAIT week2'!$A$1:$W$38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8" l="1"/>
  <c r="I10" i="8" s="1"/>
  <c r="J10" i="8" s="1"/>
  <c r="F11" i="8"/>
  <c r="W40" i="11" a="1"/>
  <c r="W40" i="11" s="1"/>
  <c r="W39" i="11" a="1"/>
  <c r="W39" i="11" s="1"/>
  <c r="W38" i="11" a="1"/>
  <c r="W38" i="11" s="1"/>
  <c r="W37" i="11" a="1"/>
  <c r="W37" i="11" s="1"/>
  <c r="W36" i="11" a="1"/>
  <c r="W36" i="11" s="1"/>
  <c r="W35" i="11" a="1"/>
  <c r="W35" i="11" s="1"/>
  <c r="W34" i="11" a="1"/>
  <c r="W34" i="11" s="1"/>
  <c r="W33" i="11" a="1"/>
  <c r="W33" i="11" s="1"/>
  <c r="W32" i="11" a="1"/>
  <c r="W32" i="11" s="1"/>
  <c r="W31" i="11" a="1"/>
  <c r="W31" i="11" s="1"/>
  <c r="W30" i="11" a="1"/>
  <c r="W30" i="11" s="1"/>
  <c r="W29" i="11" a="1"/>
  <c r="W29" i="11" s="1"/>
  <c r="W28" i="11" a="1"/>
  <c r="W28" i="11" s="1"/>
  <c r="W27" i="11" a="1"/>
  <c r="W27" i="11" s="1"/>
  <c r="W26" i="11" a="1"/>
  <c r="W26" i="11" s="1"/>
  <c r="W25" i="11" a="1"/>
  <c r="W25" i="11" s="1"/>
  <c r="W24" i="11" a="1"/>
  <c r="W24" i="11" s="1"/>
  <c r="W23" i="11" a="1"/>
  <c r="W23" i="11" s="1"/>
  <c r="W22" i="11" a="1"/>
  <c r="W22" i="11" s="1"/>
  <c r="W21" i="11" a="1"/>
  <c r="W21" i="11" s="1"/>
  <c r="W20" i="11" a="1"/>
  <c r="W20" i="11" s="1"/>
  <c r="W19" i="11" a="1"/>
  <c r="W19" i="11" s="1"/>
  <c r="W18" i="11" a="1"/>
  <c r="W18" i="11" s="1"/>
  <c r="W17" i="11" a="1"/>
  <c r="W17" i="11" s="1"/>
  <c r="W16" i="11" a="1"/>
  <c r="W16" i="11" s="1"/>
  <c r="W15" i="11" a="1"/>
  <c r="W15" i="11" s="1"/>
  <c r="W14" i="11" a="1"/>
  <c r="W14" i="11" s="1"/>
  <c r="W13" i="11" a="1"/>
  <c r="W13" i="11" s="1"/>
  <c r="W12" i="11" a="1"/>
  <c r="W12" i="11" s="1"/>
  <c r="W11" i="11" a="1"/>
  <c r="W11" i="11" s="1"/>
  <c r="W10" i="11" a="1"/>
  <c r="W10" i="11" s="1"/>
  <c r="W9" i="11" a="1"/>
  <c r="W9" i="11" s="1"/>
  <c r="W8" i="11" a="1"/>
  <c r="W8" i="11" s="1"/>
  <c r="W7" i="11" a="1"/>
  <c r="W7" i="11" s="1"/>
  <c r="W6" i="11" a="1"/>
  <c r="W6" i="11" s="1"/>
  <c r="W5" i="11" a="1"/>
  <c r="W5" i="11" s="1"/>
  <c r="W4" i="11" a="1"/>
  <c r="W4" i="11" s="1"/>
  <c r="W3" i="11" a="1"/>
  <c r="W3" i="11" s="1"/>
  <c r="W2" i="11" a="1"/>
  <c r="W2" i="11" s="1"/>
  <c r="D40" i="11" a="1"/>
  <c r="D40" i="11" s="1"/>
  <c r="U40" i="11" s="1"/>
  <c r="V40" i="11" s="1"/>
  <c r="D39" i="11" a="1"/>
  <c r="D39" i="11" s="1"/>
  <c r="U39" i="11" s="1"/>
  <c r="V39" i="11" s="1"/>
  <c r="D38" i="11" a="1"/>
  <c r="D38" i="11" s="1"/>
  <c r="U38" i="11" s="1"/>
  <c r="V38" i="11" s="1"/>
  <c r="D37" i="11" a="1"/>
  <c r="D37" i="11" s="1"/>
  <c r="U37" i="11" s="1"/>
  <c r="V37" i="11" s="1"/>
  <c r="D36" i="11" a="1"/>
  <c r="D36" i="11" s="1"/>
  <c r="U36" i="11" s="1"/>
  <c r="V36" i="11" s="1"/>
  <c r="D35" i="11" a="1"/>
  <c r="D35" i="11" s="1"/>
  <c r="U35" i="11" s="1"/>
  <c r="V35" i="11" s="1"/>
  <c r="D34" i="11" a="1"/>
  <c r="D34" i="11" s="1"/>
  <c r="U34" i="11" s="1"/>
  <c r="V34" i="11" s="1"/>
  <c r="D33" i="11" a="1"/>
  <c r="D33" i="11" s="1"/>
  <c r="U33" i="11" s="1"/>
  <c r="V33" i="11" s="1"/>
  <c r="D32" i="11" a="1"/>
  <c r="D32" i="11" s="1"/>
  <c r="U32" i="11" s="1"/>
  <c r="V32" i="11" s="1"/>
  <c r="D31" i="11" a="1"/>
  <c r="D31" i="11" s="1"/>
  <c r="U31" i="11" s="1"/>
  <c r="V31" i="11" s="1"/>
  <c r="D30" i="11" a="1"/>
  <c r="D30" i="11" s="1"/>
  <c r="U30" i="11" s="1"/>
  <c r="V30" i="11" s="1"/>
  <c r="D29" i="11" a="1"/>
  <c r="D29" i="11" s="1"/>
  <c r="U29" i="11" s="1"/>
  <c r="V29" i="11" s="1"/>
  <c r="D28" i="11" a="1"/>
  <c r="D28" i="11" s="1"/>
  <c r="U28" i="11" s="1"/>
  <c r="V28" i="11" s="1"/>
  <c r="D27" i="11" a="1"/>
  <c r="D27" i="11" s="1"/>
  <c r="U27" i="11" s="1"/>
  <c r="V27" i="11" s="1"/>
  <c r="D26" i="11" a="1"/>
  <c r="D26" i="11" s="1"/>
  <c r="U26" i="11" s="1"/>
  <c r="V26" i="11" s="1"/>
  <c r="D25" i="11" a="1"/>
  <c r="D25" i="11" s="1"/>
  <c r="U25" i="11" s="1"/>
  <c r="V25" i="11" s="1"/>
  <c r="D24" i="11" a="1"/>
  <c r="D24" i="11" s="1"/>
  <c r="U24" i="11" s="1"/>
  <c r="V24" i="11" s="1"/>
  <c r="D23" i="11" a="1"/>
  <c r="D23" i="11" s="1"/>
  <c r="U23" i="11" s="1"/>
  <c r="V23" i="11" s="1"/>
  <c r="D22" i="11" a="1"/>
  <c r="D22" i="11" s="1"/>
  <c r="U22" i="11" s="1"/>
  <c r="V22" i="11" s="1"/>
  <c r="D21" i="11" a="1"/>
  <c r="D21" i="11" s="1"/>
  <c r="U21" i="11" s="1"/>
  <c r="V21" i="11" s="1"/>
  <c r="D20" i="11" a="1"/>
  <c r="D20" i="11" s="1"/>
  <c r="U20" i="11" s="1"/>
  <c r="V20" i="11" s="1"/>
  <c r="D19" i="11" a="1"/>
  <c r="D19" i="11" s="1"/>
  <c r="U19" i="11" s="1"/>
  <c r="V19" i="11" s="1"/>
  <c r="D18" i="11" a="1"/>
  <c r="D18" i="11" s="1"/>
  <c r="U18" i="11" s="1"/>
  <c r="V18" i="11" s="1"/>
  <c r="D17" i="11" a="1"/>
  <c r="D17" i="11" s="1"/>
  <c r="U17" i="11" s="1"/>
  <c r="V17" i="11" s="1"/>
  <c r="D16" i="11" a="1"/>
  <c r="D16" i="11" s="1"/>
  <c r="U16" i="11" s="1"/>
  <c r="V16" i="11" s="1"/>
  <c r="D15" i="11" a="1"/>
  <c r="D15" i="11" s="1"/>
  <c r="U15" i="11" s="1"/>
  <c r="V15" i="11" s="1"/>
  <c r="D14" i="11" a="1"/>
  <c r="D14" i="11" s="1"/>
  <c r="U14" i="11" s="1"/>
  <c r="V14" i="11" s="1"/>
  <c r="D13" i="11" a="1"/>
  <c r="D13" i="11" s="1"/>
  <c r="U13" i="11" s="1"/>
  <c r="V13" i="11" s="1"/>
  <c r="D12" i="11" a="1"/>
  <c r="D12" i="11" s="1"/>
  <c r="U12" i="11" s="1"/>
  <c r="V12" i="11" s="1"/>
  <c r="D11" i="11" a="1"/>
  <c r="D11" i="11" s="1"/>
  <c r="U11" i="11" s="1"/>
  <c r="V11" i="11" s="1"/>
  <c r="D10" i="11" a="1"/>
  <c r="D10" i="11" s="1"/>
  <c r="U10" i="11" s="1"/>
  <c r="V10" i="11" s="1"/>
  <c r="D9" i="11" a="1"/>
  <c r="D9" i="11" s="1"/>
  <c r="U9" i="11" s="1"/>
  <c r="V9" i="11" s="1"/>
  <c r="D8" i="11" a="1"/>
  <c r="D8" i="11" s="1"/>
  <c r="U8" i="11" s="1"/>
  <c r="V8" i="11" s="1"/>
  <c r="D7" i="11" a="1"/>
  <c r="D7" i="11" s="1"/>
  <c r="U7" i="11" s="1"/>
  <c r="V7" i="11" s="1"/>
  <c r="D6" i="11" a="1"/>
  <c r="D6" i="11" s="1"/>
  <c r="U6" i="11" s="1"/>
  <c r="V6" i="11" s="1"/>
  <c r="D5" i="11" a="1"/>
  <c r="D5" i="11" s="1"/>
  <c r="U5" i="11" s="1"/>
  <c r="V5" i="11" s="1"/>
  <c r="D4" i="11" a="1"/>
  <c r="D4" i="11" s="1"/>
  <c r="U4" i="11" s="1"/>
  <c r="V4" i="11" s="1"/>
  <c r="D3" i="11" a="1"/>
  <c r="D3" i="11" s="1"/>
  <c r="U3" i="11" s="1"/>
  <c r="V3" i="11" s="1"/>
  <c r="D2" i="11" a="1"/>
  <c r="D2" i="11" s="1"/>
  <c r="U2" i="11" s="1"/>
  <c r="V2" i="11" s="1"/>
  <c r="W38" i="10" a="1"/>
  <c r="W38" i="10" s="1"/>
  <c r="W37" i="10" a="1"/>
  <c r="W37" i="10" s="1"/>
  <c r="W36" i="10" a="1"/>
  <c r="W36" i="10" s="1"/>
  <c r="W35" i="10" a="1"/>
  <c r="W35" i="10" s="1"/>
  <c r="W34" i="10" a="1"/>
  <c r="W34" i="10" s="1"/>
  <c r="W33" i="10" a="1"/>
  <c r="W33" i="10" s="1"/>
  <c r="W32" i="10" a="1"/>
  <c r="W32" i="10" s="1"/>
  <c r="W31" i="10" a="1"/>
  <c r="W31" i="10" s="1"/>
  <c r="W30" i="10" a="1"/>
  <c r="W30" i="10" s="1"/>
  <c r="W29" i="10" a="1"/>
  <c r="W29" i="10" s="1"/>
  <c r="W28" i="10" a="1"/>
  <c r="W28" i="10" s="1"/>
  <c r="W27" i="10" a="1"/>
  <c r="W27" i="10" s="1"/>
  <c r="W26" i="10" a="1"/>
  <c r="W26" i="10" s="1"/>
  <c r="W25" i="10" a="1"/>
  <c r="W25" i="10" s="1"/>
  <c r="W24" i="10" a="1"/>
  <c r="W24" i="10" s="1"/>
  <c r="W23" i="10" a="1"/>
  <c r="W23" i="10" s="1"/>
  <c r="W22" i="10" a="1"/>
  <c r="W22" i="10" s="1"/>
  <c r="W21" i="10" a="1"/>
  <c r="W21" i="10" s="1"/>
  <c r="W20" i="10" a="1"/>
  <c r="W20" i="10" s="1"/>
  <c r="W19" i="10" a="1"/>
  <c r="W19" i="10" s="1"/>
  <c r="W18" i="10" a="1"/>
  <c r="W18" i="10" s="1"/>
  <c r="W17" i="10" a="1"/>
  <c r="W17" i="10" s="1"/>
  <c r="W16" i="10" a="1"/>
  <c r="W16" i="10" s="1"/>
  <c r="W15" i="10" a="1"/>
  <c r="W15" i="10" s="1"/>
  <c r="W14" i="10" a="1"/>
  <c r="W14" i="10" s="1"/>
  <c r="W13" i="10" a="1"/>
  <c r="W13" i="10" s="1"/>
  <c r="W12" i="10" a="1"/>
  <c r="W12" i="10" s="1"/>
  <c r="W11" i="10" a="1"/>
  <c r="W11" i="10" s="1"/>
  <c r="W10" i="10" a="1"/>
  <c r="W10" i="10" s="1"/>
  <c r="W9" i="10" a="1"/>
  <c r="W9" i="10" s="1"/>
  <c r="W8" i="10" a="1"/>
  <c r="W8" i="10" s="1"/>
  <c r="W7" i="10" a="1"/>
  <c r="W7" i="10" s="1"/>
  <c r="W6" i="10" a="1"/>
  <c r="W6" i="10" s="1"/>
  <c r="W5" i="10" a="1"/>
  <c r="W5" i="10" s="1"/>
  <c r="W4" i="10" a="1"/>
  <c r="W4" i="10" s="1"/>
  <c r="W3" i="10" a="1"/>
  <c r="W3" i="10" s="1"/>
  <c r="W2" i="10" a="1"/>
  <c r="W2" i="10" s="1"/>
  <c r="D38" i="10" a="1"/>
  <c r="D38" i="10" s="1"/>
  <c r="U38" i="10" s="1"/>
  <c r="V38" i="10" s="1"/>
  <c r="D37" i="10" a="1"/>
  <c r="D37" i="10" s="1"/>
  <c r="U37" i="10" s="1"/>
  <c r="V37" i="10" s="1"/>
  <c r="D36" i="10" a="1"/>
  <c r="D36" i="10" s="1"/>
  <c r="U36" i="10" s="1"/>
  <c r="V36" i="10" s="1"/>
  <c r="D35" i="10" a="1"/>
  <c r="D35" i="10" s="1"/>
  <c r="U35" i="10" s="1"/>
  <c r="V35" i="10" s="1"/>
  <c r="D34" i="10" a="1"/>
  <c r="D34" i="10" s="1"/>
  <c r="U34" i="10" s="1"/>
  <c r="V34" i="10" s="1"/>
  <c r="D33" i="10" a="1"/>
  <c r="D33" i="10" s="1"/>
  <c r="U33" i="10" s="1"/>
  <c r="V33" i="10" s="1"/>
  <c r="D32" i="10" a="1"/>
  <c r="D32" i="10" s="1"/>
  <c r="U32" i="10" s="1"/>
  <c r="V32" i="10" s="1"/>
  <c r="D31" i="10" a="1"/>
  <c r="D31" i="10" s="1"/>
  <c r="U31" i="10" s="1"/>
  <c r="V31" i="10" s="1"/>
  <c r="D30" i="10" a="1"/>
  <c r="D30" i="10" s="1"/>
  <c r="U30" i="10" s="1"/>
  <c r="V30" i="10" s="1"/>
  <c r="D29" i="10" a="1"/>
  <c r="D29" i="10" s="1"/>
  <c r="U29" i="10" s="1"/>
  <c r="V29" i="10" s="1"/>
  <c r="D28" i="10" a="1"/>
  <c r="D28" i="10" s="1"/>
  <c r="U28" i="10" s="1"/>
  <c r="V28" i="10" s="1"/>
  <c r="D27" i="10" a="1"/>
  <c r="D27" i="10" s="1"/>
  <c r="U27" i="10" s="1"/>
  <c r="V27" i="10" s="1"/>
  <c r="D26" i="10" a="1"/>
  <c r="D26" i="10" s="1"/>
  <c r="U26" i="10" s="1"/>
  <c r="V26" i="10" s="1"/>
  <c r="D25" i="10" a="1"/>
  <c r="D25" i="10" s="1"/>
  <c r="U25" i="10" s="1"/>
  <c r="V25" i="10" s="1"/>
  <c r="D24" i="10" a="1"/>
  <c r="D24" i="10" s="1"/>
  <c r="U24" i="10" s="1"/>
  <c r="V24" i="10" s="1"/>
  <c r="D23" i="10" a="1"/>
  <c r="D23" i="10" s="1"/>
  <c r="U23" i="10" s="1"/>
  <c r="V23" i="10" s="1"/>
  <c r="D22" i="10" a="1"/>
  <c r="D22" i="10" s="1"/>
  <c r="U22" i="10" s="1"/>
  <c r="V22" i="10" s="1"/>
  <c r="D21" i="10" a="1"/>
  <c r="D21" i="10" s="1"/>
  <c r="U21" i="10" s="1"/>
  <c r="V21" i="10" s="1"/>
  <c r="D20" i="10" a="1"/>
  <c r="D20" i="10" s="1"/>
  <c r="U20" i="10" s="1"/>
  <c r="V20" i="10" s="1"/>
  <c r="D19" i="10" a="1"/>
  <c r="D19" i="10" s="1"/>
  <c r="U19" i="10" s="1"/>
  <c r="V19" i="10" s="1"/>
  <c r="D18" i="10" a="1"/>
  <c r="D18" i="10" s="1"/>
  <c r="U18" i="10" s="1"/>
  <c r="V18" i="10" s="1"/>
  <c r="D17" i="10" a="1"/>
  <c r="D17" i="10" s="1"/>
  <c r="U17" i="10" s="1"/>
  <c r="V17" i="10" s="1"/>
  <c r="D16" i="10" a="1"/>
  <c r="D16" i="10" s="1"/>
  <c r="U16" i="10" s="1"/>
  <c r="V16" i="10" s="1"/>
  <c r="D15" i="10" a="1"/>
  <c r="D15" i="10" s="1"/>
  <c r="U15" i="10" s="1"/>
  <c r="V15" i="10" s="1"/>
  <c r="D14" i="10" a="1"/>
  <c r="D14" i="10" s="1"/>
  <c r="U14" i="10" s="1"/>
  <c r="V14" i="10" s="1"/>
  <c r="D13" i="10" a="1"/>
  <c r="D13" i="10" s="1"/>
  <c r="U13" i="10" s="1"/>
  <c r="V13" i="10" s="1"/>
  <c r="D12" i="10" a="1"/>
  <c r="D12" i="10" s="1"/>
  <c r="U12" i="10" s="1"/>
  <c r="V12" i="10" s="1"/>
  <c r="D11" i="10" a="1"/>
  <c r="D11" i="10" s="1"/>
  <c r="U11" i="10" s="1"/>
  <c r="V11" i="10" s="1"/>
  <c r="D10" i="10" a="1"/>
  <c r="D10" i="10" s="1"/>
  <c r="U10" i="10" s="1"/>
  <c r="V10" i="10" s="1"/>
  <c r="D9" i="10" a="1"/>
  <c r="D9" i="10" s="1"/>
  <c r="U9" i="10" s="1"/>
  <c r="V9" i="10" s="1"/>
  <c r="D8" i="10" a="1"/>
  <c r="D8" i="10" s="1"/>
  <c r="U8" i="10" s="1"/>
  <c r="V8" i="10" s="1"/>
  <c r="D7" i="10" a="1"/>
  <c r="D7" i="10" s="1"/>
  <c r="U7" i="10" s="1"/>
  <c r="V7" i="10" s="1"/>
  <c r="D6" i="10" a="1"/>
  <c r="D6" i="10" s="1"/>
  <c r="U6" i="10" s="1"/>
  <c r="V6" i="10" s="1"/>
  <c r="D5" i="10" a="1"/>
  <c r="D5" i="10" s="1"/>
  <c r="U5" i="10" s="1"/>
  <c r="V5" i="10" s="1"/>
  <c r="D4" i="10" a="1"/>
  <c r="D4" i="10" s="1"/>
  <c r="U4" i="10" s="1"/>
  <c r="V4" i="10" s="1"/>
  <c r="D3" i="10" a="1"/>
  <c r="D3" i="10" s="1"/>
  <c r="U3" i="10" s="1"/>
  <c r="V3" i="10" s="1"/>
  <c r="D2" i="10" a="1"/>
  <c r="D2" i="10" s="1"/>
  <c r="U2" i="10" s="1"/>
  <c r="V2" i="10" s="1"/>
  <c r="D7" i="9" a="1"/>
  <c r="D7" i="9" s="1"/>
  <c r="T7" i="9" s="1"/>
  <c r="D6" i="9" a="1"/>
  <c r="D6" i="9" s="1"/>
  <c r="T6" i="9" s="1"/>
  <c r="D5" i="9" a="1"/>
  <c r="D5" i="9" s="1"/>
  <c r="T5" i="9" s="1"/>
  <c r="D4" i="9" a="1"/>
  <c r="D4" i="9" s="1"/>
  <c r="T4" i="9" s="1"/>
  <c r="D3" i="9" a="1"/>
  <c r="D3" i="9" s="1"/>
  <c r="T3" i="9" s="1"/>
  <c r="D2" i="9" a="1"/>
  <c r="D2" i="9" s="1"/>
  <c r="T2" i="9" s="1"/>
  <c r="F15" i="8"/>
  <c r="Q3" i="8"/>
  <c r="O3" i="8"/>
  <c r="G9" i="8" a="1"/>
  <c r="G9" i="8" s="1"/>
  <c r="H9" i="8" s="1"/>
  <c r="I9" i="8" s="1"/>
  <c r="J9" i="8" s="1"/>
  <c r="F9" i="8"/>
  <c r="G8" i="8" a="1"/>
  <c r="G8" i="8" s="1"/>
  <c r="H8" i="8" s="1"/>
  <c r="I8" i="8" s="1"/>
  <c r="J8" i="8" s="1"/>
  <c r="F8" i="8"/>
  <c r="G7" i="8" a="1"/>
  <c r="G7" i="8" s="1"/>
  <c r="H7" i="8" s="1"/>
  <c r="I7" i="8" s="1"/>
  <c r="J7" i="8" s="1"/>
  <c r="F7" i="8"/>
  <c r="G6" i="8" a="1"/>
  <c r="G6" i="8" s="1"/>
  <c r="H6" i="8" s="1"/>
  <c r="I6" i="8" s="1"/>
  <c r="J6" i="8" s="1"/>
  <c r="F6" i="8"/>
  <c r="G5" i="8" a="1"/>
  <c r="G5" i="8" s="1"/>
  <c r="H5" i="8" s="1"/>
  <c r="I5" i="8" s="1"/>
  <c r="J5" i="8" s="1"/>
  <c r="F5" i="8"/>
  <c r="G4" i="8" a="1"/>
  <c r="G4" i="8" s="1"/>
  <c r="H4" i="8" s="1"/>
  <c r="I4" i="8" s="1"/>
  <c r="J4" i="8" s="1"/>
  <c r="F4" i="8"/>
  <c r="F3" i="8"/>
  <c r="I11" i="8" l="1"/>
  <c r="H11" i="8"/>
  <c r="I3" i="8"/>
  <c r="J3" i="8" s="1"/>
  <c r="V21" i="6" l="1"/>
  <c r="V20" i="6"/>
  <c r="V19" i="6"/>
  <c r="V58" i="5"/>
  <c r="V51" i="5"/>
  <c r="V47" i="5"/>
  <c r="V38" i="5"/>
  <c r="V37" i="5"/>
  <c r="V33" i="5"/>
  <c r="V32" i="5"/>
  <c r="V27" i="5"/>
  <c r="V25" i="5"/>
  <c r="V23" i="5"/>
  <c r="V21" i="5"/>
  <c r="V19" i="5"/>
  <c r="V15" i="5"/>
  <c r="V9" i="5"/>
  <c r="D61" i="2" a="1"/>
  <c r="D61" i="2" s="1"/>
  <c r="D60" i="2" a="1"/>
  <c r="D60" i="2" s="1"/>
  <c r="D59" i="2" a="1"/>
  <c r="D59" i="2" s="1"/>
  <c r="D58" i="2" a="1"/>
  <c r="D58" i="2" s="1"/>
  <c r="D57" i="2" a="1"/>
  <c r="D57" i="2" s="1"/>
  <c r="D56" i="2" a="1"/>
  <c r="D56" i="2" s="1"/>
  <c r="D55" i="2" a="1"/>
  <c r="D55" i="2" s="1"/>
  <c r="D54" i="2" a="1"/>
  <c r="D54" i="2" s="1"/>
  <c r="D53" i="2" a="1"/>
  <c r="D53" i="2" s="1"/>
  <c r="D52" i="2" a="1"/>
  <c r="D52" i="2" s="1"/>
  <c r="D51" i="2" a="1"/>
  <c r="D51" i="2" s="1"/>
  <c r="D50" i="2" a="1"/>
  <c r="D50" i="2" s="1"/>
  <c r="D49" i="2" a="1"/>
  <c r="D49" i="2" s="1"/>
  <c r="D48" i="2" a="1"/>
  <c r="D48" i="2" s="1"/>
  <c r="D47" i="2" a="1"/>
  <c r="D47" i="2" s="1"/>
  <c r="D46" i="2" a="1"/>
  <c r="D46" i="2" s="1"/>
  <c r="D45" i="2" a="1"/>
  <c r="D45" i="2" s="1"/>
  <c r="D44" i="2" a="1"/>
  <c r="D44" i="2" s="1"/>
  <c r="D43" i="2" a="1"/>
  <c r="D43" i="2" s="1"/>
  <c r="D42" i="2" a="1"/>
  <c r="D42" i="2" s="1"/>
  <c r="D41" i="2" a="1"/>
  <c r="D41" i="2" s="1"/>
  <c r="D40" i="2" a="1"/>
  <c r="D40" i="2" s="1"/>
  <c r="D39" i="2" a="1"/>
  <c r="D39" i="2" s="1"/>
  <c r="D38" i="2" a="1"/>
  <c r="D38" i="2" s="1"/>
  <c r="D37" i="2" a="1"/>
  <c r="D37" i="2" s="1"/>
  <c r="D36" i="2" a="1"/>
  <c r="D36" i="2" s="1"/>
  <c r="D35" i="2" a="1"/>
  <c r="D35" i="2" s="1"/>
  <c r="D34" i="2" a="1"/>
  <c r="D34" i="2" s="1"/>
  <c r="D33" i="2" a="1"/>
  <c r="D33" i="2" s="1"/>
  <c r="D32" i="2" a="1"/>
  <c r="D32" i="2" s="1"/>
  <c r="D31" i="2" a="1"/>
  <c r="D31" i="2" s="1"/>
  <c r="D30" i="2" a="1"/>
  <c r="D30" i="2" s="1"/>
  <c r="D29" i="2" a="1"/>
  <c r="D29" i="2" s="1"/>
  <c r="D28" i="2" a="1"/>
  <c r="D28" i="2" s="1"/>
  <c r="D27" i="2" a="1"/>
  <c r="D27" i="2" s="1"/>
  <c r="D26" i="2" a="1"/>
  <c r="D26" i="2" s="1"/>
  <c r="D25" i="2" a="1"/>
  <c r="D25" i="2" s="1"/>
  <c r="D24" i="2" a="1"/>
  <c r="D24" i="2" s="1"/>
  <c r="D23" i="2" a="1"/>
  <c r="D23" i="2" s="1"/>
  <c r="D22" i="2" a="1"/>
  <c r="D22" i="2" s="1"/>
  <c r="D21" i="2" a="1"/>
  <c r="D21" i="2" s="1"/>
  <c r="D20" i="2" a="1"/>
  <c r="D20" i="2" s="1"/>
  <c r="D19" i="2" a="1"/>
  <c r="D19" i="2" s="1"/>
  <c r="D18" i="2" a="1"/>
  <c r="D18" i="2" s="1"/>
  <c r="D17" i="2" a="1"/>
  <c r="D17" i="2" s="1"/>
  <c r="D16" i="2" a="1"/>
  <c r="D16" i="2" s="1"/>
  <c r="D15" i="2" a="1"/>
  <c r="D15" i="2" s="1"/>
  <c r="D14" i="2" a="1"/>
  <c r="D14" i="2" s="1"/>
  <c r="D13" i="2" a="1"/>
  <c r="D13" i="2" s="1"/>
  <c r="D12" i="2" a="1"/>
  <c r="D12" i="2" s="1"/>
  <c r="D11" i="2" a="1"/>
  <c r="D11" i="2" s="1"/>
  <c r="D10" i="2" a="1"/>
  <c r="D10" i="2" s="1"/>
  <c r="D9" i="2" a="1"/>
  <c r="D9" i="2" s="1"/>
  <c r="D8" i="2" a="1"/>
  <c r="D8" i="2" s="1"/>
  <c r="D7" i="2" a="1"/>
  <c r="D7" i="2" s="1"/>
  <c r="D6" i="2" a="1"/>
  <c r="D6" i="2" s="1"/>
  <c r="D5" i="2" a="1"/>
  <c r="D5" i="2" s="1"/>
  <c r="D4" i="2" a="1"/>
  <c r="D4" i="2" s="1"/>
  <c r="D3" i="2" a="1"/>
  <c r="D3" i="2" s="1"/>
  <c r="D2" i="2" a="1"/>
  <c r="D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5">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6"/>
        </ext>
      </extLst>
    </bk>
    <bk>
      <extLst>
        <ext uri="{3e2802c4-a4d2-4d8b-9148-e3be6c30e623}">
          <xlrd:rvb i="189"/>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9"/>
        </ext>
      </extLst>
    </bk>
    <bk>
      <extLst>
        <ext uri="{3e2802c4-a4d2-4d8b-9148-e3be6c30e623}">
          <xlrd:rvb i="242"/>
        </ext>
      </extLst>
    </bk>
    <bk>
      <extLst>
        <ext uri="{3e2802c4-a4d2-4d8b-9148-e3be6c30e623}">
          <xlrd:rvb i="245"/>
        </ext>
      </extLst>
    </bk>
    <bk>
      <extLst>
        <ext uri="{3e2802c4-a4d2-4d8b-9148-e3be6c30e623}">
          <xlrd:rvb i="248"/>
        </ext>
      </extLst>
    </bk>
    <bk>
      <extLst>
        <ext uri="{3e2802c4-a4d2-4d8b-9148-e3be6c30e623}">
          <xlrd:rvb i="251"/>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3"/>
        </ext>
      </extLst>
    </bk>
  </futureMetadata>
  <cellMetadata count="1">
    <bk>
      <rc t="1" v="0"/>
    </bk>
  </cellMetadata>
  <valueMetadata count="8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valueMetadata>
</metadata>
</file>

<file path=xl/sharedStrings.xml><?xml version="1.0" encoding="utf-8"?>
<sst xmlns="http://schemas.openxmlformats.org/spreadsheetml/2006/main" count="874" uniqueCount="168">
  <si>
    <t>Stock</t>
  </si>
  <si>
    <t>Weekly Close Date</t>
  </si>
  <si>
    <t>Weekly Close</t>
  </si>
  <si>
    <t>CMP</t>
  </si>
  <si>
    <t>Drift %</t>
  </si>
  <si>
    <t>RSI</t>
  </si>
  <si>
    <t>MACD Histogram</t>
  </si>
  <si>
    <t>SMA 10W</t>
  </si>
  <si>
    <t>Price vs SMA 10W %</t>
  </si>
  <si>
    <t>Weekly RVOL</t>
  </si>
  <si>
    <t>Daily DVR (10D)</t>
  </si>
  <si>
    <t>Institutional Activity</t>
  </si>
  <si>
    <t>Ideal Buy Low</t>
  </si>
  <si>
    <t>Ideal Buy High</t>
  </si>
  <si>
    <t>Stop Loss</t>
  </si>
  <si>
    <t>Target 1</t>
  </si>
  <si>
    <t>Target 2</t>
  </si>
  <si>
    <t>Momentum Score</t>
  </si>
  <si>
    <t>Signal</t>
  </si>
  <si>
    <t>ASIANPAINT</t>
  </si>
  <si>
    <t>No Institutional Activity</t>
  </si>
  <si>
    <t>Confirmed Momentum</t>
  </si>
  <si>
    <t>SBILIFE</t>
  </si>
  <si>
    <t>PNB</t>
  </si>
  <si>
    <t>AXISBANK</t>
  </si>
  <si>
    <t>Strong Institutional Activity</t>
  </si>
  <si>
    <t>BAJAJ-AUTO</t>
  </si>
  <si>
    <t>BPCL</t>
  </si>
  <si>
    <t>BHARTIARTL</t>
  </si>
  <si>
    <t>CIPLA</t>
  </si>
  <si>
    <t>Early Momentum</t>
  </si>
  <si>
    <t>COALINDIA</t>
  </si>
  <si>
    <t>GRASIM</t>
  </si>
  <si>
    <t>Moderate Institutional Activity</t>
  </si>
  <si>
    <t>HCLTECH</t>
  </si>
  <si>
    <t>HDFCBANK</t>
  </si>
  <si>
    <t>HINDALCO</t>
  </si>
  <si>
    <t>HINDUNILVR</t>
  </si>
  <si>
    <t>ICICIBANK</t>
  </si>
  <si>
    <t>INDUSINDBK</t>
  </si>
  <si>
    <t>INFY</t>
  </si>
  <si>
    <t>JSWSTEEL</t>
  </si>
  <si>
    <t>KOTAKBANK</t>
  </si>
  <si>
    <t>LT</t>
  </si>
  <si>
    <t>M&amp;M</t>
  </si>
  <si>
    <t>MARUTI</t>
  </si>
  <si>
    <t>NESTLEIND</t>
  </si>
  <si>
    <t>NTPC</t>
  </si>
  <si>
    <t>ONGC</t>
  </si>
  <si>
    <t>POWERGRID</t>
  </si>
  <si>
    <t>RELIANCE</t>
  </si>
  <si>
    <t>SBIN</t>
  </si>
  <si>
    <t>TATASTEEL</t>
  </si>
  <si>
    <t>TECHM</t>
  </si>
  <si>
    <t>TITAN</t>
  </si>
  <si>
    <t>ULTRACEMCO</t>
  </si>
  <si>
    <t>UPL</t>
  </si>
  <si>
    <t>WIPRO</t>
  </si>
  <si>
    <t>ABB</t>
  </si>
  <si>
    <t>ADANIENSOL</t>
  </si>
  <si>
    <t>ADANIPOWER</t>
  </si>
  <si>
    <t>AUROPHARMA</t>
  </si>
  <si>
    <t>BANKBARODA</t>
  </si>
  <si>
    <t>BOSCHLTD</t>
  </si>
  <si>
    <t>CANBK</t>
  </si>
  <si>
    <t>CHOLAFIN</t>
  </si>
  <si>
    <t>GODREJCP</t>
  </si>
  <si>
    <t>ICICIGI</t>
  </si>
  <si>
    <t>ICICIPRULI</t>
  </si>
  <si>
    <t>IOC</t>
  </si>
  <si>
    <t>IRCTC</t>
  </si>
  <si>
    <t>LUPIN</t>
  </si>
  <si>
    <t>MARICO</t>
  </si>
  <si>
    <t>MUTHOOTFIN</t>
  </si>
  <si>
    <t>NAUKRI</t>
  </si>
  <si>
    <t>NMDC</t>
  </si>
  <si>
    <t>PIDILITIND</t>
  </si>
  <si>
    <t>PFC</t>
  </si>
  <si>
    <t>RECLTD</t>
  </si>
  <si>
    <t>SRF</t>
  </si>
  <si>
    <t>TORNTPHARM</t>
  </si>
  <si>
    <t>TVSMOTOR</t>
  </si>
  <si>
    <t>VEDL</t>
  </si>
  <si>
    <t>VOLTAS</t>
  </si>
  <si>
    <t>ADANIENT</t>
  </si>
  <si>
    <t>No Signal</t>
  </si>
  <si>
    <t>ADANIPORTS</t>
  </si>
  <si>
    <t>APOLLOHOSP</t>
  </si>
  <si>
    <t>BAJFINANCE</t>
  </si>
  <si>
    <t>BAJAJFINSV</t>
  </si>
  <si>
    <t>BRITANNIA</t>
  </si>
  <si>
    <t>DIVISLAB</t>
  </si>
  <si>
    <t>DRREDDY</t>
  </si>
  <si>
    <t>EICHERMOT</t>
  </si>
  <si>
    <t>HDFCLIFE</t>
  </si>
  <si>
    <t>HEROMOTOCO</t>
  </si>
  <si>
    <t>ITC</t>
  </si>
  <si>
    <t>SUNPHARMA</t>
  </si>
  <si>
    <t>TCS</t>
  </si>
  <si>
    <t>HAVELLS</t>
  </si>
  <si>
    <t>LTTS</t>
  </si>
  <si>
    <t>SHREECEM</t>
  </si>
  <si>
    <t>UBL</t>
  </si>
  <si>
    <t>ZEEL</t>
  </si>
  <si>
    <t>ZYDUSLIFE</t>
  </si>
  <si>
    <t>INDIGo</t>
  </si>
  <si>
    <t>KAYNES</t>
  </si>
  <si>
    <t xml:space="preserve">Buy if </t>
  </si>
  <si>
    <t>P/E</t>
  </si>
  <si>
    <t>52 Week High -CMP</t>
  </si>
  <si>
    <t>In range over a year, avoid?</t>
  </si>
  <si>
    <t>uptrend, macd can cross signal line target 2465, 2600</t>
  </si>
  <si>
    <t>ROE</t>
  </si>
  <si>
    <t>52 week high</t>
  </si>
  <si>
    <t>no clear trend, to check in 2-3 days for macd crossover</t>
  </si>
  <si>
    <t>Macd close to crossing Signal, well below 52 week high and uptrend, wait for 275 cross?</t>
  </si>
  <si>
    <t>MACD close to crossover check in couple fo days</t>
  </si>
  <si>
    <t>MACD CLOSE TO CROSS OVER BUT ONLY 10% FROM LIFETIME HIGHS</t>
  </si>
  <si>
    <t xml:space="preserve"> </t>
  </si>
  <si>
    <t>MACD CLSOE BUT NO CLEAR CORSS OVER SIGNAL ALSO NEAR LIFETIME HIGHS</t>
  </si>
  <si>
    <t>MACD CLOSE BUT ALSO NEAR LIFETIME HIGHS</t>
  </si>
  <si>
    <t xml:space="preserve">MACD CLOSE higher highs </t>
  </si>
  <si>
    <t>MACD clsoe can go to 256=&gt;268</t>
  </si>
  <si>
    <t>Late?</t>
  </si>
  <si>
    <t>MACD cross over imminent uptred</t>
  </si>
  <si>
    <t>MACD crossover imminent</t>
  </si>
  <si>
    <t>MACD cross over done, must break 280?</t>
  </si>
  <si>
    <t>Close to MACD cross over, cross 385 could go to 410 levels</t>
  </si>
  <si>
    <t>Confirme up trend may be late</t>
  </si>
  <si>
    <t>range bound</t>
  </si>
  <si>
    <t>just at cross over</t>
  </si>
  <si>
    <t>range bound must cross 1455 decisively</t>
  </si>
  <si>
    <t xml:space="preserve">Recnet crossover 52week high of 440, good upside if </t>
  </si>
  <si>
    <t>MACD CROSSED AGAIN</t>
  </si>
  <si>
    <t>RECL rangebound 360 to 420 last one year</t>
  </si>
  <si>
    <t>corossover no major momentum</t>
  </si>
  <si>
    <t>RANGE BOUND TWO QUARTERS</t>
  </si>
  <si>
    <t>RECENT CROSSOVER</t>
  </si>
  <si>
    <t>RANE BOUND 2200-1860 FOR THE YEAR</t>
  </si>
  <si>
    <t>TETSED 1400 TWICE RESISTANCE AT 1677 AND MAJOR AT 1740</t>
  </si>
  <si>
    <t>AT CROSSOVER POINTS AND LIFETIME HIGHS</t>
  </si>
  <si>
    <t>RECENT MACD CROSSOVER HIGH OF 800, 10% GAIN IN 2 WEEKS</t>
  </si>
  <si>
    <t>1650. DECISIVE CROSS FOR HIGHER LEVELS</t>
  </si>
  <si>
    <t>Tuesdat Signal</t>
  </si>
  <si>
    <t>BUY CMP 1607, DVR 2.21</t>
  </si>
  <si>
    <t>Buy small CMP 1606</t>
  </si>
  <si>
    <t>CMP1578 , DVR 1.43</t>
  </si>
  <si>
    <t>CMP 263.3 DVR 1.44</t>
  </si>
  <si>
    <t>CMP773</t>
  </si>
  <si>
    <t>Date</t>
  </si>
  <si>
    <t>Qty</t>
  </si>
  <si>
    <t>Buy Price</t>
  </si>
  <si>
    <t>Total Buy</t>
  </si>
  <si>
    <t xml:space="preserve">CMP </t>
  </si>
  <si>
    <t>Total CMP</t>
  </si>
  <si>
    <t>Self</t>
  </si>
  <si>
    <t>Program</t>
  </si>
  <si>
    <t>9/12/202</t>
  </si>
  <si>
    <t>18/12/2025</t>
  </si>
  <si>
    <t>22/12/2025</t>
  </si>
  <si>
    <t>26/12/2025</t>
  </si>
  <si>
    <t>Sell Price</t>
  </si>
  <si>
    <t>Sell Date</t>
  </si>
  <si>
    <t>8/1/2026%</t>
  </si>
  <si>
    <t>31/12/2025</t>
  </si>
  <si>
    <t>Total Sell</t>
  </si>
  <si>
    <t>Loss</t>
  </si>
  <si>
    <t>Total Invested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</si>
</sst>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_-[$¤-860]\ * #,##0.00_-;\-[$¤-860]\ * #,##0.00_-;_-[$¤-860]\ * &quot;-&quot;??_-;_-@_-"/>
    <numFmt numFmtId="166" formatCode="0.0%"/>
  </numFmts>
  <fonts count="12" x14ac:knownFonts="1">
    <font>
      <sz val="11"/>
      <color theme="1"/>
      <name val="Calibri"/>
      <family val="2"/>
      <scheme val="minor"/>
    </font>
    <font>
      <sz val="12"/>
      <color theme="1"/>
      <name val="Calibri"/>
      <family val="2"/>
      <scheme val="minor"/>
    </font>
    <font>
      <b/>
      <sz val="11"/>
      <name val="Calibri"/>
      <family val="2"/>
    </font>
    <font>
      <sz val="11"/>
      <color theme="1"/>
      <name val="Calibri"/>
      <family val="2"/>
      <scheme val="minor"/>
    </font>
    <font>
      <b/>
      <sz val="11"/>
      <color rgb="FF0070C0"/>
      <name val="Calibri"/>
      <family val="2"/>
      <scheme val="minor"/>
    </font>
    <font>
      <b/>
      <sz val="8"/>
      <name val="Calibri (Body)"/>
    </font>
    <font>
      <sz val="8"/>
      <color theme="1"/>
      <name val="Calibri (Body)"/>
    </font>
    <font>
      <b/>
      <sz val="8"/>
      <name val="Calibri"/>
      <family val="2"/>
    </font>
    <font>
      <sz val="12"/>
      <color rgb="FF006100"/>
      <name val="Calibri"/>
      <family val="2"/>
      <scheme val="minor"/>
    </font>
    <font>
      <sz val="12"/>
      <color rgb="FF9C5700"/>
      <name val="Calibri"/>
      <family val="2"/>
      <scheme val="minor"/>
    </font>
    <font>
      <b/>
      <sz val="12"/>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EFFFB4"/>
        <bgColor indexed="64"/>
      </patternFill>
    </fill>
    <fill>
      <patternFill patternType="solid">
        <fgColor theme="9" tint="0.39997558519241921"/>
        <bgColor indexed="64"/>
      </patternFill>
    </fill>
    <fill>
      <patternFill patternType="solid">
        <fgColor rgb="FFC6EFCE"/>
      </patternFill>
    </fill>
    <fill>
      <patternFill patternType="solid">
        <fgColor rgb="FFFFEB9C"/>
      </patternFill>
    </fill>
    <fill>
      <patternFill patternType="solid">
        <fgColor rgb="FFFFBD0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E3FF0F"/>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6">
    <xf numFmtId="0" fontId="0" fillId="0" borderId="0"/>
    <xf numFmtId="9" fontId="3" fillId="0" borderId="0" applyFon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 fillId="0" borderId="0"/>
    <xf numFmtId="9" fontId="1" fillId="0" borderId="0" applyFont="0" applyFill="0" applyBorder="0" applyAlignment="0" applyProtection="0"/>
  </cellStyleXfs>
  <cellXfs count="56">
    <xf numFmtId="0" fontId="0" fillId="0" borderId="0" xfId="0"/>
    <xf numFmtId="0" fontId="2" fillId="0" borderId="1" xfId="0" applyFont="1" applyBorder="1" applyAlignment="1">
      <alignment horizontal="center" vertical="top"/>
    </xf>
    <xf numFmtId="164" fontId="0" fillId="0" borderId="0" xfId="0" applyNumberFormat="1"/>
    <xf numFmtId="10" fontId="0" fillId="0" borderId="0" xfId="1" applyNumberFormat="1" applyFont="1"/>
    <xf numFmtId="0" fontId="5" fillId="0" borderId="1" xfId="0" applyFont="1" applyBorder="1" applyAlignment="1">
      <alignment horizontal="center" vertical="top"/>
    </xf>
    <xf numFmtId="0" fontId="6" fillId="0" borderId="0" xfId="0" applyFont="1"/>
    <xf numFmtId="0" fontId="5" fillId="0" borderId="2" xfId="0" applyFont="1" applyBorder="1" applyAlignment="1">
      <alignment horizontal="center" vertical="top"/>
    </xf>
    <xf numFmtId="2" fontId="0" fillId="0" borderId="0" xfId="0" applyNumberFormat="1"/>
    <xf numFmtId="0" fontId="0" fillId="2" borderId="0" xfId="0" applyFill="1"/>
    <xf numFmtId="164" fontId="0" fillId="2" borderId="0" xfId="0" applyNumberFormat="1" applyFill="1"/>
    <xf numFmtId="0" fontId="7" fillId="0" borderId="1" xfId="0" applyFont="1" applyBorder="1" applyAlignment="1">
      <alignment horizontal="center" vertical="top" wrapText="1"/>
    </xf>
    <xf numFmtId="0" fontId="0" fillId="3" borderId="0" xfId="0" applyFill="1"/>
    <xf numFmtId="164" fontId="0" fillId="3" borderId="0" xfId="0" applyNumberFormat="1" applyFill="1"/>
    <xf numFmtId="0" fontId="0" fillId="6" borderId="0" xfId="0" applyFill="1"/>
    <xf numFmtId="164" fontId="0" fillId="6" borderId="0" xfId="0" applyNumberFormat="1" applyFill="1"/>
    <xf numFmtId="0" fontId="7" fillId="0" borderId="0" xfId="0" applyFont="1" applyFill="1" applyBorder="1" applyAlignment="1">
      <alignment horizontal="center" vertical="top" wrapText="1"/>
    </xf>
    <xf numFmtId="0" fontId="0" fillId="8" borderId="0" xfId="0" applyFill="1"/>
    <xf numFmtId="164" fontId="0" fillId="8" borderId="0" xfId="0" applyNumberFormat="1" applyFill="1"/>
    <xf numFmtId="0" fontId="0" fillId="9" borderId="0" xfId="0" applyFill="1"/>
    <xf numFmtId="164" fontId="0" fillId="9" borderId="0" xfId="0" applyNumberFormat="1" applyFill="1"/>
    <xf numFmtId="0" fontId="0" fillId="10" borderId="0" xfId="0" applyFill="1"/>
    <xf numFmtId="164" fontId="0" fillId="10" borderId="0" xfId="0" applyNumberFormat="1" applyFill="1"/>
    <xf numFmtId="0" fontId="9" fillId="5" borderId="0" xfId="3"/>
    <xf numFmtId="164" fontId="9" fillId="5" borderId="0" xfId="3" applyNumberFormat="1"/>
    <xf numFmtId="0" fontId="8" fillId="4" borderId="0" xfId="2"/>
    <xf numFmtId="164" fontId="8" fillId="4" borderId="0" xfId="2" applyNumberFormat="1"/>
    <xf numFmtId="0" fontId="8" fillId="2" borderId="0" xfId="2" applyFill="1"/>
    <xf numFmtId="164" fontId="8" fillId="2" borderId="0" xfId="2" applyNumberFormat="1" applyFill="1"/>
    <xf numFmtId="2" fontId="0" fillId="0" borderId="0" xfId="0" applyNumberFormat="1" applyFill="1"/>
    <xf numFmtId="0" fontId="7" fillId="0" borderId="1" xfId="0" applyFont="1" applyFill="1" applyBorder="1" applyAlignment="1">
      <alignment horizontal="center" vertical="top" wrapText="1"/>
    </xf>
    <xf numFmtId="0" fontId="0" fillId="0" borderId="0" xfId="0" applyFill="1"/>
    <xf numFmtId="0" fontId="9" fillId="0" borderId="0" xfId="3" applyFill="1"/>
    <xf numFmtId="0" fontId="8" fillId="0" borderId="0" xfId="2" applyFill="1"/>
    <xf numFmtId="0" fontId="7" fillId="0" borderId="2" xfId="0" applyFont="1" applyFill="1" applyBorder="1" applyAlignment="1">
      <alignment horizontal="center" vertical="top" wrapText="1"/>
    </xf>
    <xf numFmtId="0" fontId="11" fillId="0" borderId="0" xfId="0" applyFont="1" applyFill="1"/>
    <xf numFmtId="2" fontId="9" fillId="0" borderId="0" xfId="3" applyNumberFormat="1" applyFill="1"/>
    <xf numFmtId="0" fontId="4" fillId="0" borderId="0" xfId="0" applyFont="1" applyFill="1"/>
    <xf numFmtId="164" fontId="0" fillId="0" borderId="0" xfId="0" applyNumberFormat="1" applyFill="1"/>
    <xf numFmtId="0" fontId="1" fillId="0" borderId="0" xfId="4"/>
    <xf numFmtId="0" fontId="10" fillId="0" borderId="0" xfId="4" applyFont="1" applyAlignment="1">
      <alignment horizontal="center"/>
    </xf>
    <xf numFmtId="2" fontId="1" fillId="0" borderId="0" xfId="4" applyNumberFormat="1"/>
    <xf numFmtId="10" fontId="0" fillId="0" borderId="0" xfId="5" applyNumberFormat="1" applyFont="1"/>
    <xf numFmtId="0" fontId="1" fillId="0" borderId="0" xfId="4" applyAlignment="1">
      <alignment horizontal="center"/>
    </xf>
    <xf numFmtId="0" fontId="1" fillId="7" borderId="0" xfId="4" applyFill="1"/>
    <xf numFmtId="14" fontId="1" fillId="7" borderId="0" xfId="4" applyNumberFormat="1" applyFill="1" applyAlignment="1">
      <alignment horizontal="center"/>
    </xf>
    <xf numFmtId="2" fontId="1" fillId="7" borderId="0" xfId="4" applyNumberFormat="1" applyFill="1"/>
    <xf numFmtId="10" fontId="0" fillId="7" borderId="0" xfId="5" applyNumberFormat="1" applyFont="1" applyFill="1"/>
    <xf numFmtId="14" fontId="1" fillId="0" borderId="0" xfId="4" applyNumberFormat="1"/>
    <xf numFmtId="0" fontId="1" fillId="11" borderId="0" xfId="4" applyFill="1"/>
    <xf numFmtId="10" fontId="0" fillId="11" borderId="0" xfId="5" applyNumberFormat="1" applyFont="1" applyFill="1"/>
    <xf numFmtId="0" fontId="0" fillId="7" borderId="0" xfId="5" applyNumberFormat="1" applyFont="1" applyFill="1"/>
    <xf numFmtId="0" fontId="0" fillId="0" borderId="0" xfId="0" applyNumberFormat="1"/>
    <xf numFmtId="166" fontId="0" fillId="0" borderId="0" xfId="1" applyNumberFormat="1" applyFont="1"/>
    <xf numFmtId="4" fontId="0" fillId="0" borderId="0" xfId="0" applyNumberFormat="1"/>
    <xf numFmtId="165" fontId="1" fillId="0" borderId="0" xfId="4" applyNumberFormat="1"/>
    <xf numFmtId="0" fontId="0" fillId="0" borderId="0" xfId="5" applyNumberFormat="1" applyFont="1"/>
  </cellXfs>
  <cellStyles count="6">
    <cellStyle name="Good" xfId="2" builtinId="26"/>
    <cellStyle name="Neutral" xfId="3" builtinId="28"/>
    <cellStyle name="Normal" xfId="0" builtinId="0"/>
    <cellStyle name="Normal 2" xfId="4" xr:uid="{30757C1F-0469-A242-BA9B-B8EF4290C454}"/>
    <cellStyle name="Percent" xfId="1" builtinId="5"/>
    <cellStyle name="Percent 2" xfId="5" xr:uid="{392A22C5-231B-3244-B571-7352C77B4FC6}"/>
  </cellStyles>
  <dxfs count="1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colors>
    <mruColors>
      <color rgb="FFEFFFB4"/>
      <color rgb="FFE3FF0F"/>
      <color rgb="FFFF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64">
  <rv s="0">
    <v>https://www.bing.com/financeapi/forcetrigger?t=ahhedm&amp;q=XNSE%3aCIPLA&amp;form=skydnc</v>
    <v>Learn more on Bing</v>
  </rv>
  <rv s="1">
    <v>0</v>
    <v>CIPLA LIMITED (XNSE:CIPLA)</v>
    <v>2</v>
    <v>3</v>
    <v>Finance</v>
    <v>4</v>
    <v>en-US</v>
    <v>ahhedm</v>
    <v>268435456</v>
    <v>1</v>
    <v>Powered by Refinitiv</v>
    <v>1673</v>
    <v>1332.35</v>
    <v>0.47010000000000002</v>
    <v>-37</v>
    <v>-2.5793E-2</v>
    <v>INR</v>
    <v>Cipla Limited is an India-based global pharmaceutical company. The Company is engaged in manufacturing, developing and marketing a wide range of branded and generic formulations and Active Pharmaceutical Ingredients (APIs). The Company operates through two segments: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Its geographical segments include India, the United States, South Africa, and the Rest of the World. It has its network of manufacturing, trading and other incidental operations in India and International markets.</v>
    <v>30313</v>
    <v>National Stock Exchange of India</v>
    <v>XNSE</v>
    <v>XNSE</v>
    <v>Cipla House, Peninsula Business Park, Ganpatrao Kadam Marg, Lower Parel,, MUMBAI, MAHARASHTRA, 400013 IN</v>
    <v>1409.5</v>
    <v>Pharmaceuticals</v>
    <v>Stock</v>
    <v>46038.492881944447</v>
    <v>0</v>
    <v>1367.2</v>
    <v>1169896000000</v>
    <v>CIPLA LIMITED</v>
    <v>CIPLA LIMITED</v>
    <v>1379</v>
    <v>21.29</v>
    <v>1434.5</v>
    <v>1397.5</v>
    <v>807771800</v>
    <v>CIPLA</v>
    <v>CIPLA LIMITED (XNSE:CIPLA)</v>
    <v>4333315</v>
    <v>1993670</v>
    <v>1935</v>
  </rv>
  <rv s="2">
    <v>1</v>
  </rv>
  <rv s="0">
    <v>https://www.bing.com/financeapi/forcetrigger?t=ahi62w&amp;q=XNSE%3aHINDUNILVR&amp;form=skydnc</v>
    <v>Learn more on Bing</v>
  </rv>
  <rv s="1">
    <v>0</v>
    <v>HINDUSTAN UNILEVER LIMITED (XNSE:HINDUNILVR)</v>
    <v>2</v>
    <v>3</v>
    <v>Finance</v>
    <v>4</v>
    <v>en-US</v>
    <v>ahi62w</v>
    <v>268435456</v>
    <v>1</v>
    <v>Powered by Refinitiv</v>
    <v>2705.1</v>
    <v>2101.13</v>
    <v>0.71540000000000004</v>
    <v>6.9</v>
    <v>2.9320000000000001E-3</v>
    <v>INR</v>
    <v>Hindustan Unilever Limited is an India-based fast-moving consumer goods company. The Company's segments include Home Care, Beauty &amp; Wellbeing, Personal Care, Foods, and Others (includes Exports, Consignment, etc). Its product categories include skin cleansing, hair care, skin care and color cosmetics, oral care, deodorant and male toiletries, fabric care, household care, nutrition drinks, foods, and beverages. The Company has over 50 brands, including Acne - Squad, Active Wheel 2 in 1, Axe, Boost, Breeze, Brooke Bond 3 Roses, Brooke Bond Red Label, Brooke Bond Taaza, Clinic Plus, Closeup, Comfort, Dermalogica, Domex, Dove, Elle 18, Find Your Happy Place, Glow &amp; Handsome, Glow &amp; Lovely, Hamam, Horlicks, Horlicks Diabetes Plus, Lipton, and Minimalist. Lux is a global brand which offers beauty soaps, shower gels, bath additives, shampoos and others. ELLE 18 brand’s range of cosmetics includes eyeliner, kajal, lipstick, nail polish, compact and foundation.</v>
    <v>18802</v>
    <v>National Stock Exchange of India</v>
    <v>XNSE</v>
    <v>XNSE</v>
    <v>Unilever House,, B D Sawant Marg, Chakala,, Andheri (E), MUMBAI, MAHARASHTRA, 400099 IN</v>
    <v>2372.9</v>
    <v>Personal &amp; Household Products &amp; Services</v>
    <v>Stock</v>
    <v>46038.492893518516</v>
    <v>3</v>
    <v>2348.9</v>
    <v>5614349000000</v>
    <v>HINDUSTAN UNILEVER LIMITED</v>
    <v>HINDUSTAN UNILEVER LIMITED</v>
    <v>2370</v>
    <v>50.79</v>
    <v>2353.5</v>
    <v>2360.4</v>
    <v>2349591000</v>
    <v>HINDUNILVR</v>
    <v>HINDUSTAN UNILEVER LIMITED (XNSE:HINDUNILVR)</v>
    <v>1367606</v>
    <v>1151210</v>
    <v>1933</v>
  </rv>
  <rv s="2">
    <v>4</v>
  </rv>
  <rv s="0">
    <v>http://en.wikipedia.org/wiki/Public_domain</v>
    <v>Public domain</v>
  </rv>
  <rv s="0">
    <v>http://zh.wikipedia.org/wiki/ICICI银行</v>
    <v>Wikipedia</v>
  </rv>
  <rv s="3">
    <v>6</v>
    <v>7</v>
  </rv>
  <rv s="4">
    <v>9</v>
    <v>https://www.bing.com/th?id=AMMS_7a55564cbcf9b185c2bd50f7f3a85b23&amp;qlt=95</v>
    <v>8</v>
    <v>0</v>
    <v>https://www.bing.com/images/search?form=xlimg&amp;q=icici+bank</v>
    <v>Image of ICICI BANK LIMITED</v>
  </rv>
  <rv s="0">
    <v>https://www.bing.com/financeapi/forcetrigger?t=ahi877&amp;q=XNSE%3aICICIBANK&amp;form=skydnc</v>
    <v>Learn more on Bing</v>
  </rv>
  <rv s="5">
    <v>5</v>
    <v>ICICI BANK LIMITED (XNSE:ICICIBANK)</v>
    <v>7</v>
    <v>8</v>
    <v>Finance</v>
    <v>4</v>
    <v>en-US</v>
    <v>ahi877</v>
    <v>268435456</v>
    <v>1</v>
    <v>Powered by Refinitiv</v>
    <v>1500</v>
    <v>1186</v>
    <v>0.95399999999999996</v>
    <v>-7.6</v>
    <v>-5.3580000000000008E-3</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129177</v>
    <v>National Stock Exchange of India</v>
    <v>XNSE</v>
    <v>XNSE</v>
    <v>ICICI Bank Towers, Bandra-Kurla Complex, MUMBAI, MAHARASHTRA, 400051 IN</v>
    <v>1429</v>
    <v>9</v>
    <v>Banking Services</v>
    <v>Stock</v>
    <v>46038.492893518516</v>
    <v>10</v>
    <v>1400.2</v>
    <v>10272960000000</v>
    <v>ICICI BANK LIMITED</v>
    <v>ICICI BANK LIMITED</v>
    <v>1417.9</v>
    <v>18.89</v>
    <v>1418.4</v>
    <v>1410.8</v>
    <v>7148891000</v>
    <v>ICICIBANK</v>
    <v>ICICI BANK LIMITED (XNSE:ICICIBANK)</v>
    <v>12530886</v>
    <v>11886930</v>
    <v>1994</v>
  </rv>
  <rv s="2">
    <v>11</v>
  </rv>
  <rv s="0">
    <v>https://www.bing.com/financeapi/forcetrigger?t=ahjha2&amp;q=XNSE%3aPOWERGRID&amp;form=skydnc</v>
    <v>Learn more on Bing</v>
  </rv>
  <rv s="1">
    <v>0</v>
    <v>POWER GRID CORPORATION OF INDIA LIMITED (XNSE:POWERGRID)</v>
    <v>2</v>
    <v>3</v>
    <v>Finance</v>
    <v>4</v>
    <v>en-US</v>
    <v>ahjha2</v>
    <v>268435456</v>
    <v>1</v>
    <v>Powered by Refinitiv</v>
    <v>322</v>
    <v>247.3</v>
    <v>1.0182</v>
    <v>-1.05</v>
    <v>-4.0639999999999999E-3</v>
    <v>INR</v>
    <v>Power Grid Corporation of India Limited is an electric power transmission utility company. The Company is primarily engaged in the implementation, operation and maintenance of Inter-State Transmission System (ISTS), telecom and consultancy services as its business segments. The transmission business involves operating and maintaining its transmission assets to power supply for customers. It operates the telecom business through its wholly owned subsidiary, namely, POWERGRID Teleservices Limited under the brand name PowerTel. It provides consultancy solutions in the transmission, distribution and telecom sectors, including system studies, design, engineering, load dispatch, optical ground wire (OPGW) on intra-state transmission network, procurement management, operational &amp; maintenance and project management. Alongside, it provides consultancy for implementation of intra-state transmission network and smart grid projects, energy efficiency &amp; energy audit, capacity building assignments.</v>
    <v>9048</v>
    <v>National Stock Exchange of India</v>
    <v>XNSE</v>
    <v>XNSE</v>
    <v>Saudamini, Plot No.2, Sector 29, GURGAON, HARYANA, 122001 IN</v>
    <v>261.55</v>
    <v>Electrical Utilities &amp; IPPs</v>
    <v>Stock</v>
    <v>46038.492905092593</v>
    <v>13</v>
    <v>256.2</v>
    <v>2406996000000</v>
    <v>POWER GRID CORPORATION OF INDIA LIMITED</v>
    <v>POWER GRID CORPORATION OF INDIA LIMITED</v>
    <v>258.3</v>
    <v>15.8</v>
    <v>258.35000000000002</v>
    <v>257.3</v>
    <v>9300604000</v>
    <v>POWERGRID</v>
    <v>POWER GRID CORPORATION OF INDIA LIMITED (XNSE:POWERGRID)</v>
    <v>9648251</v>
    <v>11655890</v>
    <v>1989</v>
  </rv>
  <rv s="2">
    <v>14</v>
  </rv>
  <rv s="0">
    <v>https://www.bing.com/financeapi/forcetrigger?t=ahkh52&amp;q=XNSE%3aULTRACEMCO&amp;form=skydnc</v>
    <v>Learn more on Bing</v>
  </rv>
  <rv s="1">
    <v>0</v>
    <v>ULTRATECH CEMENT LIMITED (XNSE:ULTRACEMCO)</v>
    <v>2</v>
    <v>3</v>
    <v>Finance</v>
    <v>4</v>
    <v>en-US</v>
    <v>ahkh52</v>
    <v>268435456</v>
    <v>1</v>
    <v>Powered by Refinitiv</v>
    <v>13097</v>
    <v>10047.85</v>
    <v>1.1944999999999999</v>
    <v>123</v>
    <v>1.0037000000000001E-2</v>
    <v>INR</v>
    <v>UltraTech Cement Limited is an India-based company, which is engaged in the business of manufacturing and sale of cement and cement related products. The Company’s products include UltraTech Cement, Ready Mix Concrete, Building Solutions, and Building Products. Its UltraTech Cement products include Ordinary Portland Cement (OPC), Portland Pozzolana Cement (PPC), and Portland Slag Cement. Its Building Solutions products include cement, steels, painting system, waterproofing and chemicals, electricals, plywood, shuttering ply, power and hand tools, flooring, pipes, sanitary ware, mortars, roofing, and water storage tanks. Its Building Products include Tiles Adhesives (TILEFIXO-CT, TILEFIXO-VT, TILEFIXO-NT, and TILEFIXO-YT), Repair Products (MICROKRETE and BASEKRETE), Waterproofing Products (SEAL &amp; DRY, FLEX, HIFLEX, and MYKROFILL), Industrial and Precision Grout (POWERGROUT NS1, NS2, and NS3), Masonry Products (FIXOBLOCK), and Light Weight Autoclaved Aerated Concrete Block (XTRALITE).</v>
    <v>25684</v>
    <v>National Stock Exchange of India</v>
    <v>XNSE</v>
    <v>XNSE</v>
    <v>B Wing, 2nd floor, Ahura Centre, Mahakali Caves Road, Andheri (East), MUMBAI, MAHARASHTRA, 400093 IN</v>
    <v>12405</v>
    <v>Construction Materials</v>
    <v>Stock</v>
    <v>46038.49291666667</v>
    <v>16</v>
    <v>11800</v>
    <v>3542005000000</v>
    <v>ULTRATECH CEMENT LIMITED</v>
    <v>ULTRATECH CEMENT LIMITED</v>
    <v>11800</v>
    <v>52.3</v>
    <v>12255</v>
    <v>12378</v>
    <v>294088700</v>
    <v>ULTRACEMCO</v>
    <v>ULTRATECH CEMENT LIMITED (XNSE:ULTRACEMCO)</v>
    <v>454481</v>
    <v>252140</v>
    <v>2000</v>
  </rv>
  <rv s="2">
    <v>17</v>
  </rv>
  <rv s="0">
    <v>https://www.bing.com/financeapi/forcetrigger?t=ahi8a2&amp;q=XNSE%3aICICIGI&amp;form=skydnc</v>
    <v>Learn more on Bing</v>
  </rv>
  <rv s="1">
    <v>0</v>
    <v>ICICI LOMBARD GENERAL INSURANCE COMPANY LIMITED (XNSE:ICICIGI)</v>
    <v>2</v>
    <v>3</v>
    <v>Finance</v>
    <v>4</v>
    <v>en-US</v>
    <v>ahi8a2</v>
    <v>268435456</v>
    <v>1</v>
    <v>Powered by Refinitiv</v>
    <v>2068.6999999999998</v>
    <v>1613.7</v>
    <v>1.21</v>
    <v>12.5</v>
    <v>6.7290000000000006E-3</v>
    <v>INR</v>
    <v>ICICI Lombard General Insurance Company Limited is an India-based general insurance company. The Company offers a comprehensive and diversified range of products through multiple distribution channels, including motor, health, crop, fire, personal accident, marine, engineering, and liability insurance. Its segments include Fire, Marine, Health including Personal Accident, Miscellaneous, Crop Insurance and Motor. Its Health including Personal Accident segment includes health retail, health group corporate and health government business. Its Miscellaneous segment includes miscellaneous retail and miscellaneous group corporate business. Its motor insurance includes car insurance, bike insurance and motor floater. Its health insurance includes Health AdvantEdge, MaxProtect, health booster, personal protect, Arogya Sanjeevani Policy, Saral Suraksha Bima and others. Its other insurances include crop insurance, NRI insurance, cyber insurance, ICICI Bharat Griha Raksha Policy and others.</v>
    <v>15123</v>
    <v>National Stock Exchange of India</v>
    <v>XNSE</v>
    <v>XNSE</v>
    <v>ICICI Lombard House, 414, Veer Savarkar Marg, Near Siddhi Vinayak Temple, Prabhadevi, MUMBAI, MAHARASHTRA, 400025 IN</v>
    <v>1892.7</v>
    <v>Insurance</v>
    <v>Stock</v>
    <v>46038.492893518516</v>
    <v>19</v>
    <v>1840</v>
    <v>939092900000</v>
    <v>ICICI LOMBARD GENERAL INSURANCE COMPANY LIMITED</v>
    <v>ICICI LOMBARD GENERAL INSURANCE COMPANY LIMITED</v>
    <v>1850.5</v>
    <v>33.64</v>
    <v>1857.7</v>
    <v>1870.2</v>
    <v>498084500</v>
    <v>ICICIGI</v>
    <v>ICICI LOMBARD GENERAL INSURANCE COMPANY LIMITED (XNSE:ICICIGI)</v>
    <v>966834</v>
    <v>548000</v>
    <v>2000</v>
  </rv>
  <rv s="2">
    <v>20</v>
  </rv>
  <rv s="0">
    <v>https://www.bing.com/financeapi/forcetrigger?t=ahjfbh&amp;q=XNSE%3aPIDILITIND&amp;form=skydnc</v>
    <v>Learn more on Bing</v>
  </rv>
  <rv s="1">
    <v>0</v>
    <v>PIDILITE INDUSTRIES LIMITED (XNSE:PIDILITIND)</v>
    <v>2</v>
    <v>3</v>
    <v>Finance</v>
    <v>4</v>
    <v>en-US</v>
    <v>ahjfbh</v>
    <v>268435456</v>
    <v>1</v>
    <v>Powered by Refinitiv</v>
    <v>1574.95</v>
    <v>1306.8699999999999</v>
    <v>1.0317000000000001</v>
    <v>-18.7</v>
    <v>-1.2506E-2</v>
    <v>INR</v>
    <v>Pidilite Industries Limited is an India-based manufacturer of consumer and industrial specialty chemicals. The Company's segments include Consumer and Bazaar (C&amp;B), Business to Business (B2B), and Others. The C&amp;B segment covers the sale of products mainly to end consumers, which are retail users such as carpenters, painters, plumbers, mechanics, households, students and offices, among others. The Company's products include adhesives, sealants, art &amp; craft materials and others, construction, and paint chemicals. The B2B segment includes industrial products such as adhesives, synthetic resins, organic pigments, pigment preparations, construction chemicals (projects) and surfactants, among others. It caters to various industries, such as packaging, textiles, joineries, printing inks, paper and leather, among others.</v>
    <v>8153</v>
    <v>National Stock Exchange of India</v>
    <v>XNSE</v>
    <v>XNSE</v>
    <v>Ramkrishna Mandir Road, Andheri - E, Mumbai, MUMBAI, MAHARASHTRA, 400059 IN</v>
    <v>1504.4</v>
    <v>Chemicals</v>
    <v>Stock</v>
    <v>46038.492905092593</v>
    <v>22</v>
    <v>1467.6</v>
    <v>1525452000000</v>
    <v>PIDILITE INDUSTRIES LIMITED</v>
    <v>PIDILITE INDUSTRIES LIMITED</v>
    <v>1495.2</v>
    <v>68.37</v>
    <v>1495.3</v>
    <v>1476.6</v>
    <v>1017714000</v>
    <v>PIDILITIND</v>
    <v>PIDILITE INDUSTRIES LIMITED (XNSE:PIDILITIND)</v>
    <v>745534</v>
    <v>474740</v>
    <v>1969</v>
  </rv>
  <rv s="2">
    <v>23</v>
  </rv>
  <rv s="0">
    <v>https://www.bing.com/financeapi/forcetrigger?t=ahi3jc&amp;q=XNSE%3aHDFCBANK&amp;form=skydnc</v>
    <v>Learn more on Bing</v>
  </rv>
  <rv s="1">
    <v>0</v>
    <v>HDFC BANK LIMITED (XNSE:HDFCBANK)</v>
    <v>2</v>
    <v>3</v>
    <v>Finance</v>
    <v>4</v>
    <v>en-US</v>
    <v>ahi3jc</v>
    <v>268435456</v>
    <v>1</v>
    <v>Powered by Refinitiv</v>
    <v>1020.5</v>
    <v>810.13</v>
    <v>0.9677</v>
    <v>5.65</v>
    <v>6.1050000000000002E-3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220339</v>
    <v>National Stock Exchange of India</v>
    <v>XNSE</v>
    <v>XNSE</v>
    <v>'Hdfc Bank House', Senapati Bapat Road, Lower Parel (West), Mumbai India, MUMBAI, MAHARASHTRA, 400013 IN</v>
    <v>935.95</v>
    <v>Banking Services</v>
    <v>Stock</v>
    <v>46038.492893518516</v>
    <v>25</v>
    <v>919.2</v>
    <v>14420670000000</v>
    <v>HDFC BANK LIMITED</v>
    <v>HDFC BANK LIMITED</v>
    <v>922</v>
    <v>19.579999999999998</v>
    <v>925.45</v>
    <v>931.1</v>
    <v>15384510000</v>
    <v>HDFCBANK</v>
    <v>HDFC BANK LIMITED (XNSE:HDFCBANK)</v>
    <v>37780235</v>
    <v>28131980</v>
    <v>1994</v>
  </rv>
  <rv s="2">
    <v>26</v>
  </rv>
  <rv s="0">
    <v>https://www.bing.com/financeapi/forcetrigger?t=ahgr9c&amp;q=XNSE%3aADANIPOWER&amp;form=skydnc</v>
    <v>Learn more on Bing</v>
  </rv>
  <rv s="1">
    <v>0</v>
    <v>ADANI POWER LIMITED (XNSE:ADANIPOWER)</v>
    <v>2</v>
    <v>3</v>
    <v>Finance</v>
    <v>4</v>
    <v>en-US</v>
    <v>ahgr9c</v>
    <v>268435456</v>
    <v>1</v>
    <v>Powered by Refinitiv</v>
    <v>182.7</v>
    <v>89</v>
    <v>0.99609999999999999</v>
    <v>-0.14000000000000001</v>
    <v>-9.8059999999999987E-4</v>
    <v>INR</v>
    <v>Adani Power Limited is an India-based private base load power generation company. The Company has an installed thermal power capacity of approximately 18,150 megawatts (MW) spread over 13 power plants and a 40 MW solar power plant in Gujarat. Its segments include Power Generation and related activities and Trading, Investment and other activities. It sells power generated from its projects under a combination of long-term power purchase agreements (PPAs), supplemental power purchase agreements (SPPAs), medium-term PPA, short-term PPA, and on a merchant basis. Its power plants are located in various locations, including Mundra, Gujarat; Tiroda and Butibori, Maharashtra; Kawai, Rajasthan; Udupi, Karnataka; Raipur, Chhattisgarh; Raigarh, Chhattisgarh; Godda, Jharkhand; Singrauli, Madhya Pradesh (ongoing expansion); Singrauli, Madhya Pradesh, and Bitta, Gujarat. Its Udupi power plant operates as an imported coal-based utility with a capacity of approximately 1.2 gigawatts (GW).</v>
    <v>4176</v>
    <v>National Stock Exchange of India</v>
    <v>XNSE</v>
    <v>XNSE</v>
    <v>Adani Corporate House, Shantigram, Near Vaishno Devi Circle,, S. G. Highway, Khodiyar, AHMEDABAD, GUJARAT, 382421 IN</v>
    <v>144.5</v>
    <v>Electrical Utilities &amp; IPPs</v>
    <v>Stock</v>
    <v>46038.49287037037</v>
    <v>28</v>
    <v>141.5</v>
    <v>2765040000000</v>
    <v>ADANI POWER LIMITED</v>
    <v>ADANI POWER LIMITED</v>
    <v>142.6</v>
    <v>22.53</v>
    <v>142.77000000000001</v>
    <v>142.63</v>
    <v>19284700000</v>
    <v>ADANIPOWER</v>
    <v>ADANI POWER LIMITED (XNSE:ADANIPOWER)</v>
    <v>8651198</v>
    <v>16215700</v>
    <v>1996</v>
  </rv>
  <rv s="2">
    <v>29</v>
  </rv>
  <rv s="0">
    <v>https://www.bing.com/financeapi/forcetrigger?t=ahizgh&amp;q=XNSE%3aM%26M&amp;form=skydnc</v>
    <v>Learn more on Bing</v>
  </rv>
  <rv s="1">
    <v>0</v>
    <v>MAHINDRA AND MAHINDRA LIMITED (XNSE:M&amp;M)</v>
    <v>2</v>
    <v>3</v>
    <v>Finance</v>
    <v>4</v>
    <v>en-US</v>
    <v>ahizgh</v>
    <v>268435456</v>
    <v>1</v>
    <v>Powered by Refinitiv</v>
    <v>3839.9</v>
    <v>2425</v>
    <v>0.89359999999999995</v>
    <v>8.6999999999999993</v>
    <v>2.3839999999999998E-3</v>
    <v>INR</v>
    <v>Mahindra and Mahindra Limited is engaged in offering farm equipment, electric vehicles, sport utility vehicles (SUVs), information technology (IT), and financial services. Its segments include Automotive, Farm Equipment, Auto Investments, Farm Investments, Financial Services, and Industrial Businesses and Consumer Services. The Automotive segment comprises the sale of automobiles, two-wheelers, spares, construction equipment and related services. The Farm Equipment segment consists of the sale of tractors, implements, spares, powerol, and related services. Industrial Businesses and Consumer Services segment comprises all other segments like IT services, real estate, hospitality, logistics, steel trading and processing, renewables, after-market, defense, and agri. Financial Services segment comprises offering financial products ranging from retail and other loans, small and medium-sized enterprise finance, housing finance, mutual funds, and life and non-life insurance broking services.</v>
    <v>25222</v>
    <v>National Stock Exchange of India</v>
    <v>XNSE</v>
    <v>XNSE</v>
    <v>Gateway Building, Apollo Bunder, MUMBAI, MAHARASHTRA, 400001 IN</v>
    <v>3729.9</v>
    <v>Automobiles &amp; Auto Parts</v>
    <v>Stock</v>
    <v>46038.492893518516</v>
    <v>31</v>
    <v>3650.1</v>
    <v>4393970000000</v>
    <v>MAHINDRA AND MAHINDRA LIMITED</v>
    <v>MAHINDRA AND MAHINDRA LIMITED</v>
    <v>3650.1</v>
    <v>28.62</v>
    <v>3649.5</v>
    <v>3658.2</v>
    <v>1200046000</v>
    <v>M&amp;M</v>
    <v>MAHINDRA AND MAHINDRA LIMITED (XNSE:M&amp;M)</v>
    <v>2089943</v>
    <v>1433310</v>
    <v>1945</v>
  </rv>
  <rv s="2">
    <v>32</v>
  </rv>
  <rv s="0">
    <v>https://www.bing.com/financeapi/forcetrigger?t=ahj9zr&amp;q=XNSE%3aONGC&amp;form=skydnc</v>
    <v>Learn more on Bing</v>
  </rv>
  <rv s="1">
    <v>0</v>
    <v>OIL AND NATURAL GAS CORPORATION LIMITED (XNSE:ONGC)</v>
    <v>2</v>
    <v>3</v>
    <v>Finance</v>
    <v>4</v>
    <v>en-US</v>
    <v>ahj9zr</v>
    <v>268435456</v>
    <v>1</v>
    <v>Powered by Refinitiv</v>
    <v>270.47000000000003</v>
    <v>205</v>
    <v>0.85809999999999997</v>
    <v>-1.06</v>
    <v>-4.2699999999999995E-3</v>
    <v>INR</v>
    <v>Oil and Natural Gas Corporation Limited is an India-based integrated oil and gas company. The Company is engaged in exploration, development and production of crude oil, natural gas and value-added products in India and acquisition of oil and gas acreages outside India for exploration, development and production, downstream (Refining and marketing of petroleum products), Petrochemicals, Power Generation, liquefied natural gas (LNG) supply, Pipeline Transportation, special economic zone (SEZ) development, Helicopter services, Manufacturing of Ethanol and Sugar, Green and Renewable energy business. Its segments include Exploration and Production, Refining &amp; Marketing, and Petrochemicals. Its geographical segments consist of India, which includes offshore and onshore, and Outside India. Its subsidiaries include ONGC Videsh Limited, ONGC Green Limited, Mangalore Refinery and Petrochemicals Limited, Hindustan Petroleum Corporation Limited, HPCL Biofuels Limited, and among others.</v>
    <v>25319</v>
    <v>National Stock Exchange of India</v>
    <v>XNSE</v>
    <v>XNSE</v>
    <v>Deendayal Urja Bhawan, 5A, Nelson Mandela Marg, Vasant Kunj, NEW DELHI, DELHI, 110070 IN</v>
    <v>247.78</v>
    <v>Oil &amp; Gas</v>
    <v>Stock</v>
    <v>46038.492893518516</v>
    <v>34</v>
    <v>242.4</v>
    <v>3066821000000</v>
    <v>OIL AND NATURAL GAS CORPORATION LIMITED</v>
    <v>OIL AND NATURAL GAS CORPORATION LIMITED</v>
    <v>246.9</v>
    <v>8.5500000000000007</v>
    <v>248.23</v>
    <v>247.17</v>
    <v>12580280000</v>
    <v>ONGC</v>
    <v>OIL AND NATURAL GAS CORPORATION LIMITED (XNSE:ONGC)</v>
    <v>12287680</v>
    <v>13941570</v>
    <v>1993</v>
  </rv>
  <rv s="2">
    <v>35</v>
  </rv>
  <rv s="0">
    <v>https://www.bing.com/financeapi/forcetrigger?t=ahhx5r&amp;q=XNSE%3aGODREJCP&amp;form=skydnc</v>
    <v>Learn more on Bing</v>
  </rv>
  <rv s="1">
    <v>0</v>
    <v>GODREJ CONSUMER PRODUCTS LIMITED (XNSE:GODREJCP)</v>
    <v>2</v>
    <v>3</v>
    <v>Finance</v>
    <v>4</v>
    <v>en-US</v>
    <v>ahhx5r</v>
    <v>268435456</v>
    <v>1</v>
    <v>Powered by Refinitiv</v>
    <v>1309</v>
    <v>979.5</v>
    <v>0.92079999999999995</v>
    <v>10</v>
    <v>8.1510000000000003E-3</v>
    <v>INR</v>
    <v>Godrej Consumer Products Limited is an India-based fast moving consumer goods company. The Company is engaged in manufacturing and marketing household and personal care products. The Company operates through four geographical segments: India, Indonesia, Africa, and others. Its personal care brands include Saniter, Cinthol, PAMELAGRANT Beauty, Villeneuve, Muuchstac, Millefiori, mitu, purest hygiene and goodness.me. Its home care brands include goodknight, HIT, aer, Stella, and Ezee. Its haircare brands include DARLING, INECTO, PROFECTIV Mega Growth, Ilicit, ISSUE, nupur, PROFESSIONAL, tcb naturals, renew, Just for Me, ROBY, AFRiCAN PRIDE and nyu. It offers a range of products in India, which includes household insecticides, air fresheners, hair color and soaps. Its subsidiaries include Godrej Household Products (Lanka) Pvt. Ltd., Godrej South Africa Proprietary Ltd, Beleza Mozambique LDA, Cosmetica Nacional, Godrej Africa Holdings Limited, Godrej East Africa Holdings Ltd and Deciral SA.</v>
    <v>2962</v>
    <v>National Stock Exchange of India</v>
    <v>XNSE</v>
    <v>XNSE</v>
    <v>Godrej One, 4th Floor, Pirojshanagar, Eastern Express Highway, Vikhroli(East), MUMBAI, MAHARASHTRA, 400079 IN</v>
    <v>1253.3</v>
    <v>Personal &amp; Household Products &amp; Services</v>
    <v>Stock</v>
    <v>46038.492881944447</v>
    <v>37</v>
    <v>1228.0999999999999</v>
    <v>1268209000000</v>
    <v>GODREJ CONSUMER PRODUCTS LIMITED</v>
    <v>GODREJ CONSUMER PRODUCTS LIMITED</v>
    <v>1235</v>
    <v>68.900000000000006</v>
    <v>1226.9000000000001</v>
    <v>1236.9000000000001</v>
    <v>1023245000</v>
    <v>GODREJCP</v>
    <v>GODREJ CONSUMER PRODUCTS LIMITED (XNSE:GODREJCP)</v>
    <v>895547</v>
    <v>859300</v>
    <v>2000</v>
  </rv>
  <rv s="2">
    <v>38</v>
  </rv>
  <rv s="0">
    <v>https://www.bing.com/financeapi/forcetrigger?t=ahhyrw&amp;q=XNSE%3aGRASIM&amp;form=skydnc</v>
    <v>Learn more on Bing</v>
  </rv>
  <rv s="1">
    <v>0</v>
    <v>GRASIM INDUSTRIES LTD (XNSE:GRASIM)</v>
    <v>2</v>
    <v>3</v>
    <v>Finance</v>
    <v>4</v>
    <v>en-US</v>
    <v>ahhyrw</v>
    <v>268435456</v>
    <v>1</v>
    <v>Powered by Refinitiv</v>
    <v>2977.8</v>
    <v>2276.9499999999998</v>
    <v>1.1915</v>
    <v>13.8</v>
    <v>4.9359999999999994E-3</v>
    <v>INR</v>
    <v>Grasim Industries Limited is an India-based producer of cellulosic fibers, diversified chemicals, fashion yarn and fabrics producer. Its segments include Cellulosic Fibres, Chemicals, Building Material, Financial Service and Others. Its Cellulosic Fibres segment includes cellulosic staple fiber (CSF) and cellulosic fashion yarn (CFY). The Chemical segment includes chlor alkali, specialty chemicals and chlorine derivatives. The Building Material segment includes cement, paints and business to business (B2B) e-commerce businesses. The Others segment includes textiles, insulators and renewable power business. Its chlor-alkali business is engaged in the production of caustic soda, wide array of chlorine derivatives and specialty chemicals like epoxy polymers and curing agents. Its cement products include grey cement, white cement, ready mix concrete and wall putty products. Birla Pivot, the Company's the B2B e-commerce business unit, offers integrated procurement solutions.</v>
    <v>27327</v>
    <v>National Stock Exchange of India</v>
    <v>XNSE</v>
    <v>XNSE</v>
    <v>Aditya Birla Centre, A Wing, 2nd Floor, S. K. Ahire Marg, MUMBAI, MAHARASHTRA, 400030 IN</v>
    <v>2827.3</v>
    <v>Construction Materials</v>
    <v>Stock</v>
    <v>46038.492881944447</v>
    <v>40</v>
    <v>2791</v>
    <v>1882145000000</v>
    <v>GRASIM INDUSTRIES LTD</v>
    <v>GRASIM INDUSTRIES LTD</v>
    <v>2810.8</v>
    <v>46.04</v>
    <v>2795.8</v>
    <v>2809.6</v>
    <v>678469800</v>
    <v>GRASIM</v>
    <v>GRASIM INDUSTRIES LTD (XNSE:GRASIM)</v>
    <v>678922</v>
    <v>581600</v>
    <v>1947</v>
  </rv>
  <rv s="2">
    <v>41</v>
  </rv>
  <rv s="0">
    <v>https://www.bing.com/financeapi/forcetrigger?t=ahiwa2&amp;q=XNSE%3aMARUTI&amp;form=skydnc</v>
    <v>Learn more on Bing</v>
  </rv>
  <rv s="1">
    <v>0</v>
    <v>MARUTI SUZUKI INDIA LIMITED (XNSE:MARUTI)</v>
    <v>2</v>
    <v>3</v>
    <v>Finance</v>
    <v>4</v>
    <v>en-US</v>
    <v>ahiwa2</v>
    <v>268435456</v>
    <v>1</v>
    <v>Powered by Refinitiv</v>
    <v>17370</v>
    <v>11059.45</v>
    <v>0.26429999999999998</v>
    <v>-293</v>
    <v>-1.814E-2</v>
    <v>INR</v>
    <v>Maruti Suzuki India Limited is engaged in the manufacturing, purchasing and sale of motor vehicles, components, and spare parts. The other activities of the Company comprise facilitation of pre-owned car sales, fleet management, and car financing. The Company is focused on the business of manufacturing and sale of passenger and commercial vehicles. The Company’s vehicles are offered through three channels: NEXA, Arena, and Commercial. It also sells aftermarket parts and accessories under the brand name of Maruti Suzuki Genuine Parts, and Maruti Suzuki Genuine Accessories. Its portfolio of Nexa products includes XL6, e VITARA, Ciaz, The New Age Baleno, Ignis, Grand Vitara, FRONX, Jimny, and Invicto. Its portfolio of Arena products includes Alto K10, Brezza, Celerio, WagonR, Swift, Dzire, S-Presso, Eeco, Dezire, and Ertiga. Its portfolio of Commercial products includes Super Carry and Eeco Cargo. Its service offerings include Maruti Suzuki Smart Finance, Maruti Suzuki Leasing, and more.</v>
    <v>20171</v>
    <v>National Stock Exchange of India</v>
    <v>XNSE</v>
    <v>XNSE</v>
    <v>1, Nelson Mandela Road,, Vasant Kunj,, NEW DELHI, DELHI, 110070 IN</v>
    <v>16197</v>
    <v>Automobiles &amp; Auto Parts</v>
    <v>Stock</v>
    <v>46038.492893518516</v>
    <v>43</v>
    <v>15770</v>
    <v>5164377000000</v>
    <v>MARUTI SUZUKI INDIA LIMITED</v>
    <v>MARUTI SUZUKI INDIA LIMITED</v>
    <v>16000</v>
    <v>34.36</v>
    <v>16152</v>
    <v>15859</v>
    <v>314402600</v>
    <v>MARUTI</v>
    <v>MARUTI SUZUKI INDIA LIMITED (XNSE:MARUTI)</v>
    <v>703056</v>
    <v>285130</v>
    <v>1981</v>
  </rv>
  <rv s="2">
    <v>44</v>
  </rv>
  <rv s="0">
    <v>https://www.bing.com/financeapi/forcetrigger?t=ahkok2&amp;q=XNSE%3aWIPRO&amp;form=skydnc</v>
    <v>Learn more on Bing</v>
  </rv>
  <rv s="1">
    <v>0</v>
    <v>WIPRO LIMITED (XNSE:WIPRO)</v>
    <v>2</v>
    <v>3</v>
    <v>Finance</v>
    <v>4</v>
    <v>en-US</v>
    <v>ahkok2</v>
    <v>268435456</v>
    <v>1</v>
    <v>Powered by Refinitiv</v>
    <v>324.60000000000002</v>
    <v>228</v>
    <v>0.86929999999999996</v>
    <v>7.25</v>
    <v>2.7863000000000002E-2</v>
    <v>INR</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242021</v>
    <v>National Stock Exchange of India</v>
    <v>XNSE</v>
    <v>XNSE</v>
    <v>Survey #76P &amp; #80P Doddakanahalli Villag, Varthur Hobli Sarjapur Rd, BANGALORE, KARNATAKA, 560035 IN</v>
    <v>269.8</v>
    <v>Software &amp; IT Services</v>
    <v>Stock</v>
    <v>46038.49291666667</v>
    <v>46</v>
    <v>263</v>
    <v>2767491000000</v>
    <v>WIPRO LIMITED</v>
    <v>WIPRO LIMITED</v>
    <v>263.25</v>
    <v>20.170000000000002</v>
    <v>260.2</v>
    <v>267.45</v>
    <v>10475290000</v>
    <v>WIPRO</v>
    <v>WIPRO LIMITED (XNSE:WIPRO)</v>
    <v>12028289</v>
    <v>6362300</v>
    <v>1945</v>
  </rv>
  <rv s="2">
    <v>47</v>
  </rv>
  <rv s="0">
    <v>https://www.bing.com/financeapi/forcetrigger?t=ahjehw&amp;q=XNSE%3aPFC&amp;form=skydnc</v>
    <v>Learn more on Bing</v>
  </rv>
  <rv s="1">
    <v>0</v>
    <v>POWER FINANCE CORPORATION LIMITED (XNSE:PFC)</v>
    <v>2</v>
    <v>3</v>
    <v>Finance</v>
    <v>4</v>
    <v>en-US</v>
    <v>ahjehw</v>
    <v>268435456</v>
    <v>1</v>
    <v>Powered by Refinitiv</v>
    <v>444.1</v>
    <v>329.9</v>
    <v>1.4930000000000001</v>
    <v>3.5</v>
    <v>9.4120000000000002E-3</v>
    <v>INR</v>
    <v>Power Finance Corporation Limited is an India-based government-owned non-banking financial company, specializing in offering financial support to power and infrastructure sectors. The Company is the nodal agency for the Revamped Distribution Sector Scheme, Ultra Mega Power Projects, and Integrated Power Development Scheme, and acts as the Bid Process Coordinator for Independent Transmission Projects. It offers a range of products and services that meet the needs of the power sector, such as rupee-term loans, short-term loans, equipment lease financing, and transitional financing services for various power projects in the generation, transmission, and distribution sectors. It caters to e-vehicle fleets, charging infrastructure, roads, ports, metro rail, smart cities, and other infrastructure projects. Its clients include central and state power utilities, power equipment manufacturers, state government departments, and developers involved in large-scale infrastructure projects.</v>
    <v>540</v>
    <v>National Stock Exchange of India</v>
    <v>XNSE</v>
    <v>XNSE</v>
    <v>Urjanidhi', 1, Barakhamba Lane, Connaught Place, NEW DELHI, DELHI, 110001 IN</v>
    <v>379.15</v>
    <v>Banking Services</v>
    <v>Stock</v>
    <v>46038.492905092593</v>
    <v>49</v>
    <v>370.3</v>
    <v>1219553000000</v>
    <v>POWER FINANCE CORPORATION LIMITED</v>
    <v>POWER FINANCE CORPORATION LIMITED</v>
    <v>373.9</v>
    <v>4.96</v>
    <v>371.85</v>
    <v>375.35</v>
    <v>3300102000</v>
    <v>PFC</v>
    <v>POWER FINANCE CORPORATION LIMITED (XNSE:PFC)</v>
    <v>6139589</v>
    <v>7873890</v>
    <v>1986</v>
  </rv>
  <rv s="2">
    <v>50</v>
  </rv>
  <rv s="0">
    <v>https://www.bing.com/financeapi/forcetrigger?t=ahju6h&amp;q=XNSE%3aSBIN&amp;form=skydnc</v>
    <v>Learn more on Bing</v>
  </rv>
  <rv s="6">
    <v>10</v>
    <v>State Bank of India (XNSE:SBIN)</v>
    <v>2</v>
    <v>11</v>
    <v>Finance</v>
    <v>4</v>
    <v>en-US</v>
    <v>ahju6h</v>
    <v>268435456</v>
    <v>1</v>
    <v>Powered by Refinitiv</v>
    <v>1047.45</v>
    <v>680</v>
    <v>1.2572000000000001</v>
    <v>13.95</v>
    <v>1.3565000000000001E-2</v>
    <v>INR</v>
    <v>State Bank of India is an India-based banking and financial services provider. The Company is engaged in providing a wide range of products and services to individuals, commercial enterprises, corporates, public bodies and institutional customers. The Company has a digital platform, YONO 2.0, which is designed to reduce customer acquisition costs by a factor of ten compared to traditional banking methods.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1047.45</v>
    <v>Banking Services</v>
    <v>Stock</v>
    <v>46038.492905092593</v>
    <v>52</v>
    <v>1028.4000000000001</v>
    <v>9493229000000</v>
    <v>State Bank of India</v>
    <v>State Bank of India</v>
    <v>1032</v>
    <v>11.47</v>
    <v>1028.3499999999999</v>
    <v>1042.3</v>
    <v>9230617000</v>
    <v>SBIN</v>
    <v>State Bank of India (XNSE:SBIN)</v>
    <v>11051580</v>
    <v>8108640</v>
  </rv>
  <rv s="2">
    <v>53</v>
  </rv>
  <rv s="0">
    <v>https://www.bing.com/financeapi/forcetrigger?t=ahj4p2&amp;q=XNSE%3aNAUKRI&amp;form=skydnc</v>
    <v>Learn more on Bing</v>
  </rv>
  <rv s="1">
    <v>0</v>
    <v>INFO EDGE (INDIA) LIMITED (XNSE:NAUKRI)</v>
    <v>2</v>
    <v>3</v>
    <v>Finance</v>
    <v>4</v>
    <v>en-US</v>
    <v>ahj4p2</v>
    <v>268435456</v>
    <v>1</v>
    <v>Powered by Refinitiv</v>
    <v>1637</v>
    <v>1157</v>
    <v>1.3784000000000001</v>
    <v>23.3</v>
    <v>1.7843000000000001E-2</v>
    <v>INR</v>
    <v>Info Edge (India) Limited is an India-based company that is engaged in operating multiple Internet-based services through its various Web portals and mobile applications. Its segments include Recruitment Solutions, Real State- 99 acres, and Others. The Recruitment Solutions segment consists of Naukri and all other allied businesses, which provides hiring solutions for both business-to-business (B2B), and business-to-customers (B2C). The real State- 99 acres segment is focused on property listings, builders and brokers branding and visibility through micro-sites, home page links, and banners servicing real estate developers, builders and brokers. Other segment comprises Jeevansathi and Shiksha services. It operates in service verticals, which includes recruitment solutions through its brands naukri.com, iimjobs.com, hirist.com, ambitionbox.com, jobhai.com; in matrimonial services through its brand jeevansaathi.com, and in education services through its brand shiksha.com.</v>
    <v>5984</v>
    <v>National Stock Exchange of India</v>
    <v>XNSE</v>
    <v>XNSE</v>
    <v>B-8, Sector -132,, Noida, NOIDA, UTTAR PRADESH, 201304 IN</v>
    <v>1332.4</v>
    <v>Software &amp; IT Services</v>
    <v>Stock</v>
    <v>46038.492893518516</v>
    <v>55</v>
    <v>1304</v>
    <v>862635900000</v>
    <v>INFO EDGE (INDIA) LIMITED</v>
    <v>INFO EDGE (INDIA) LIMITED</v>
    <v>1306.9000000000001</v>
    <v>64.14</v>
    <v>1305.8</v>
    <v>1329.1</v>
    <v>647430200</v>
    <v>NAUKRI</v>
    <v>INFO EDGE (INDIA) LIMITED (XNSE:NAUKRI)</v>
    <v>768381</v>
    <v>827100</v>
    <v>1995</v>
  </rv>
  <rv s="2">
    <v>56</v>
  </rv>
  <rv s="0">
    <v>https://www.bing.com/financeapi/forcetrigger?t=ahkfz2&amp;q=XNSE%3aTVSMOTOR&amp;form=skydnc</v>
    <v>Learn more on Bing</v>
  </rv>
  <rv s="1">
    <v>0</v>
    <v>TVS MOTOR COMPANY LIMITED (XNSE:TVSMOTOR)</v>
    <v>2</v>
    <v>3</v>
    <v>Finance</v>
    <v>4</v>
    <v>en-US</v>
    <v>ahkfz2</v>
    <v>268435456</v>
    <v>1</v>
    <v>Powered by Refinitiv</v>
    <v>3909</v>
    <v>2171.4</v>
    <v>0.30170000000000002</v>
    <v>-22.6</v>
    <v>-6.124000000000001E-3</v>
    <v>INR</v>
    <v>TVS Motor Company Limited is an India-based two and three-wheeler manufacturer globally, supporting progress through sustainable mobility with four manufacturing facilities located in India and Indonesia. The Company's segments include Automotive Vehicles &amp; Parts and Financial services. The Company manufactures a range of two-wheelers, starting from mopeds, to scooters, commuter motorcycles, and racing bikes like the TVS Apache series and the TVS Apache RR310. The Company's product categories include motorcycles, scooters, electric scooters, three wheelers and mopeds. Its motorcycle products include TVS Apache, Ronin, Raider, Radeon, Sport and Star City+. Its electric scooter products include TVS iQube and TVS X. The Company's scooter products include TVS Jupiter, TVS Jupiter 125, TVS Ntorq, TVS Zest 110 and others. Its services include book a service, annual maintenance contract, roadside assistance, TVS genuine parts and Tru4 Oil, and proactive inspection.</v>
    <v>6522</v>
    <v>National Stock Exchange of India</v>
    <v>XNSE</v>
    <v>XNSE</v>
    <v>"Chaitanya", No.12, Khader Nawaz Khan Road, Nungambakkam, KRISHNAGIRI, TAMIL NADU, 600006 IN</v>
    <v>3720.4</v>
    <v>Automobiles &amp; Auto Parts</v>
    <v>Stock</v>
    <v>46038.492905092593</v>
    <v>58</v>
    <v>3640.8</v>
    <v>1783511000000</v>
    <v>TVS MOTOR COMPANY LIMITED</v>
    <v>TVS MOTOR COMPANY LIMITED</v>
    <v>3709.4</v>
    <v>67.709999999999994</v>
    <v>3690.4</v>
    <v>3667.8</v>
    <v>474919100</v>
    <v>TVSMOTOR</v>
    <v>TVS MOTOR COMPANY LIMITED (XNSE:TVSMOTOR)</v>
    <v>1324087</v>
    <v>606660</v>
    <v>1992</v>
  </rv>
  <rv s="2">
    <v>59</v>
  </rv>
  <rv s="0">
    <v>https://www.bing.com/financeapi/forcetrigger?t=ahkmim&amp;q=XNSE%3aVOLTAS&amp;form=skydnc</v>
    <v>Learn more on Bing</v>
  </rv>
  <rv s="1">
    <v>0</v>
    <v>VOLTAS LIMITED (XNSE:VOLTAS)</v>
    <v>2</v>
    <v>3</v>
    <v>Finance</v>
    <v>4</v>
    <v>en-US</v>
    <v>ahkmim</v>
    <v>268435456</v>
    <v>1</v>
    <v>Powered by Refinitiv</v>
    <v>1699</v>
    <v>1135</v>
    <v>0.52680000000000005</v>
    <v>-28.5</v>
    <v>-1.9793000000000002E-2</v>
    <v>INR</v>
    <v>Voltas Limited is an air conditioning and engineering solutions provider and a project specialist. Its segments include Unitary Cooling Products, Electro-Mechanical Projects and Services, and Engineering Products and Services. Unitary Cooling Products segment includes room air conditioners, air coolers, commercial refrigeration products, and commercial air conditioning. Electro-Mechanical Projects and Services include mechanical, electrical &amp; plumbing, such as electricals, heating, ventilation and air conditioning, plumbing, firefighting, extra low voltage and specialized services, water solutions comprise water treatment solutions for industrial, domestic sewage segments, and electrical and solar includes engineering, procurement and construction relating to projects of rural electrification and distribution, power augmentation and separation, and others. The Engineering Products and Services segment includes textile machinery and mining and construction equipment.</v>
    <v>1912</v>
    <v>National Stock Exchange of India</v>
    <v>XNSE</v>
    <v>XNSE</v>
    <v>Voltas House, A' Block, Dr. Babasaheb Ambedkar Road, MUMBAI, MAHARASHTRA, 400033 IN</v>
    <v>1448.5</v>
    <v>Machinery, Equipment &amp; Components</v>
    <v>Stock</v>
    <v>46038.49291666667</v>
    <v>61</v>
    <v>1407</v>
    <v>483323300000</v>
    <v>VOLTAS LIMITED</v>
    <v>VOLTAS LIMITED</v>
    <v>1440</v>
    <v>86.96</v>
    <v>1439.9</v>
    <v>1411.4</v>
    <v>330884700</v>
    <v>VOLTAS</v>
    <v>VOLTAS LIMITED (XNSE:VOLTAS)</v>
    <v>432002</v>
    <v>767460</v>
    <v>1954</v>
  </rv>
  <rv s="2">
    <v>62</v>
  </rv>
  <rv s="0">
    <v>https://www.bing.com/financeapi/forcetrigger?t=ahh9ec&amp;q=XNSE%3aBOSCHLTD&amp;form=skydnc</v>
    <v>Learn more on Bing</v>
  </rv>
  <rv s="1">
    <v>0</v>
    <v>Bosch Limited (XNSE:BOSCHLTD)</v>
    <v>2</v>
    <v>3</v>
    <v>Finance</v>
    <v>4</v>
    <v>en-US</v>
    <v>ahh9ec</v>
    <v>268435456</v>
    <v>1</v>
    <v>Powered by Refinitiv</v>
    <v>41945</v>
    <v>25921.599999999999</v>
    <v>0.5444</v>
    <v>-620</v>
    <v>-1.6552999999999998E-2</v>
    <v>INR</v>
    <v>Bosch Limited is an India-based supplier of technology and services in the areas of mobility solutions, industrial technology, consumer goods, and energy and building technology. The Company manufactures and trades in products such as diesel and gasoline fuel injection systems, automotive aftermarket products, industrial equipment, electrical power tools, security systems and industrial and consumer energy products and solutions. Its segments include Automotive Products, Consumer Goods and Others. The Automotive Products segment consists of diesel systems, gasoline systems and automotive aftermarket products and services. The Consumer Goods segment consists of trading activities in power tools and consumables. It also operates in other businesses consisting of industrial technology, building technology products and services. The Company is engaged in the supply, sales, and distribution of automotive parts for vehicle servicing and diagnostics equipment for workshops, among others.</v>
    <v>5742</v>
    <v>National Stock Exchange of India</v>
    <v>XNSE</v>
    <v>XNSE</v>
    <v>Post Box No. 3000, Hosur Road,, Adugodi, BANGALORE, KARNATAKA, 560030 IN</v>
    <v>37520</v>
    <v>Automobiles &amp; Auto Parts</v>
    <v>Stock</v>
    <v>46038.492881944447</v>
    <v>64</v>
    <v>36730</v>
    <v>1117956000000</v>
    <v>Bosch Limited</v>
    <v>Bosch Limited</v>
    <v>37420</v>
    <v>41.18</v>
    <v>37455</v>
    <v>36835</v>
    <v>29493640</v>
    <v>BOSCHLTD</v>
    <v>Bosch Limited (XNSE:BOSCHLTD)</v>
    <v>34171</v>
    <v>45420</v>
    <v>1951</v>
  </rv>
  <rv s="2">
    <v>65</v>
  </rv>
  <rv s="0">
    <v>https://www.bing.com/financeapi/forcetrigger?t=ahj63m&amp;q=XNSE%3aNESTLEIND&amp;form=skydnc</v>
    <v>Learn more on Bing</v>
  </rv>
  <rv s="1">
    <v>0</v>
    <v>NESTLE INDIA LIMITED (XNSE:NESTLEIND)</v>
    <v>2</v>
    <v>3</v>
    <v>Finance</v>
    <v>4</v>
    <v>en-US</v>
    <v>ahj63m</v>
    <v>268435456</v>
    <v>1</v>
    <v>Powered by Refinitiv</v>
    <v>1332.7</v>
    <v>1055</v>
    <v>0.9093</v>
    <v>8.8000000000000007</v>
    <v>6.7320000000000001E-3</v>
    <v>INR</v>
    <v>Nestle India Limited is an India-based company that is engaged in the food business. The Company's product categories include milk products and nutrition, prepared dishes and cooking aids, powdered and liquid beverages, and confectionery. Its milk and nutrition products include dairy whitener, condensed milk, ultra heat treatment milk, yoghurt, maternal and infant formula, baby foods, and health care nutrition. Its dishes and cooking aid products include noodles, sauces, seasonings, pasta, cereals and pet food. Its powdered and liquid beverages include instant coffee, instant tea and ready to drink beverages. The Company's confectionery products include bar count lines, tablets and sugar confectionery. The Company's brands include NESCAFE, MAGGI, MILKYBAR, KIT KAT, MUNCH, MILKMAID, GERBER and LACTOGROW. Its coffee products include NESCAFE Classic, NESCAFE Sunrise and NESCAFE GOLD. Its pet food portfolio includes PURINA Friskies and PURINA Fancy Feast in the dry and wet cat food range.</v>
    <v>8419</v>
    <v>National Stock Exchange of India</v>
    <v>XNSE</v>
    <v>XNSE</v>
    <v>Nestle House, Jacaranda Marg M Block, DLF City Phase II, National Highway 8, GURGAON, HARYANA, 122002 IN</v>
    <v>1320.9</v>
    <v>Food &amp; Tobacco</v>
    <v>Stock</v>
    <v>46038.492893518516</v>
    <v>67</v>
    <v>1305.3</v>
    <v>2542868000000</v>
    <v>NESTLE INDIA LIMITED</v>
    <v>NESTLE INDIA LIMITED</v>
    <v>1318.2</v>
    <v>85.35</v>
    <v>1307.0999999999999</v>
    <v>1315.9</v>
    <v>1928314000</v>
    <v>NESTLEIND</v>
    <v>NESTLE INDIA LIMITED (XNSE:NESTLEIND)</v>
    <v>1491989</v>
    <v>1061190</v>
    <v>1959</v>
  </rv>
  <rv s="2">
    <v>68</v>
  </rv>
  <rv s="0">
    <v>https://www.bing.com/financeapi/forcetrigger?t=ahi8cw&amp;q=XNSE%3aICICIPRULI&amp;form=skydnc</v>
    <v>Learn more on Bing</v>
  </rv>
  <rv s="1">
    <v>0</v>
    <v>ICICI PRUDENTIAL LIFE INSURANCE COMPANY LIMITED (XNSE:ICICIPRULI)</v>
    <v>2</v>
    <v>3</v>
    <v>Finance</v>
    <v>4</v>
    <v>en-US</v>
    <v>ahi8cw</v>
    <v>268435456</v>
    <v>1</v>
    <v>Powered by Refinitiv</v>
    <v>706.8</v>
    <v>525.79999999999995</v>
    <v>0.98499999999999999</v>
    <v>8.75</v>
    <v>1.3073999999999999E-2</v>
    <v>INR</v>
    <v>ICICI Prudential Life Insurance Company Limited is engaged in carrying on the business of providing life insurance, pensions and health insurance products to individuals and groups. The Company’s segments include Par Life, Par Pension, Non-Par Life, Non-Par Pension, Non-Par Variable, Non-Par Variable Pension, Annuity Non-Par, Health, Linked Life, Linked Pension, Linked Health, Linked Group Life, and Linked Group Pension. Its non-linked insurance savings plans include ICICI Pru Gift Pro, ICICI Pru Guaranteed Income for Tomorrow, ICICI Pru Gold, ICICI Pru Sukh Samruddhi, ICICI Pru Future Perfect, ICICI Pru Savings Suraksha, and ICICI Pru Anmol Bachat. Its protection plans include ICICI Pru iProtect Smart, ICICI Pru iProtect Return of Premium, ICICI Pru Saral Jeevan Bima, ICICI Pru Heart Cancer Protect, and others. Its Unit-Linked Insurance Plans include ICICI Pru Signature, ICICI Pru LifeTime Classic, ICICI Pru Smart Life, ICICI Pru Platinum, ICICI Pru EzyGrow, and others.</v>
    <v>18907</v>
    <v>National Stock Exchange of India</v>
    <v>XNSE</v>
    <v>XNSE</v>
    <v>ICICI Prulife Towers, 1089, Appasaheb Marathe Marg, Prabhadevi, MUMBAI, MAHARASHTRA, 400025 IN</v>
    <v>683.75</v>
    <v>Insurance</v>
    <v>Stock</v>
    <v>46038.492893518516</v>
    <v>70</v>
    <v>667.3</v>
    <v>986550100000</v>
    <v>ICICI PRUDENTIAL LIFE INSURANCE COMPANY LIMITED</v>
    <v>ICICI PRUDENTIAL LIFE INSURANCE COMPANY LIMITED</v>
    <v>669.25</v>
    <v>70.599999999999994</v>
    <v>669.25</v>
    <v>678</v>
    <v>1447722000</v>
    <v>ICICIPRULI</v>
    <v>ICICI PRUDENTIAL LIFE INSURANCE COMPANY LIMITED (XNSE:ICICIPRULI)</v>
    <v>4417190</v>
    <v>1664230</v>
    <v>2000</v>
  </rv>
  <rv s="2">
    <v>71</v>
  </rv>
  <rv s="0">
    <v>https://www.bing.com/financeapi/forcetrigger?t=ahgqcw&amp;q=XNSE%3aABB&amp;form=skydnc</v>
    <v>Learn more on Bing</v>
  </rv>
  <rv s="1">
    <v>0</v>
    <v>ABB India Limited (XNSE:ABB)</v>
    <v>2</v>
    <v>3</v>
    <v>Finance</v>
    <v>4</v>
    <v>en-US</v>
    <v>ahgqcw</v>
    <v>268435456</v>
    <v>1</v>
    <v>Powered by Refinitiv</v>
    <v>6579.65</v>
    <v>4684.45</v>
    <v>1.2615000000000001</v>
    <v>-62.5</v>
    <v>-1.2664999999999999E-2</v>
    <v>INR</v>
    <v>ABB India Limited is an India-based technology company that is focused on electrification and automation. The Company's segments include Robotics and Discrete Automation, Motion, Electrification, and Process Automation. Robotics and Discrete Automation segment provides value-added solutions in robotics, machine and factory automation. Motion segment provides products, solutions and related services that improve industrial productivity and energy efficiency. Its motors, generators and drives provide power, motion and control for a wide range of automation applications. Electrification segment provides technology across the full electrical value chain from substation to the point of consumption. Process Automation segment provides products, systems and services designed to optimize the productivity of industrial processes. Its solutions include turnkey engineering, control systems, measurement products, life cycle services, outsourced maintenance and industry specific products.</v>
    <v>3625</v>
    <v>National Stock Exchange of India</v>
    <v>XNSE</v>
    <v>XNSE</v>
    <v>Disha, Corporate Office, 3rd Floor, Plot No. 5 &amp; 6, 2nd Stage, Peenya Industrial Area IV, Peenya, BANGALORE, KARNATAKA, 560058 IN</v>
    <v>4960</v>
    <v>Machinery, Equipment &amp; Components</v>
    <v>Stock</v>
    <v>46038.49287037037</v>
    <v>73</v>
    <v>4852</v>
    <v>1052337000000</v>
    <v>ABB India Limited</v>
    <v>ABB India Limited</v>
    <v>4935</v>
    <v>59.19</v>
    <v>4935</v>
    <v>4872.5</v>
    <v>211908400</v>
    <v>ABB</v>
    <v>ABB India Limited (XNSE:ABB)</v>
    <v>186282</v>
    <v>185300</v>
    <v>1949</v>
  </rv>
  <rv s="2">
    <v>74</v>
  </rv>
  <rv s="0">
    <v>https://www.bing.com/financeapi/forcetrigger?t=ahiw4c&amp;q=XNSE%3aMARICO&amp;form=skydnc</v>
    <v>Learn more on Bing</v>
  </rv>
  <rv s="1">
    <v>0</v>
    <v>MARICO LIMITED (XNSE:MARICO)</v>
    <v>2</v>
    <v>3</v>
    <v>Finance</v>
    <v>4</v>
    <v>en-US</v>
    <v>ahiw4c</v>
    <v>268435456</v>
    <v>1</v>
    <v>Powered by Refinitiv</v>
    <v>780</v>
    <v>577.85</v>
    <v>0.53820000000000001</v>
    <v>10.35</v>
    <v>1.3804E-2</v>
    <v>INR</v>
    <v>Marico Limited is an India-based consumer goods company operating in the global beauty and wellness categories. The Company operates in product categories such as Coconut Oil, Refined Edible Oils, Value Added Hair Oils, Leave-in Hair Conditioners, Male Grooming and Packaged Foods, among others. Its product portfolio caters to a diverse range of consumer needs and preferences, ranging from hair nourishment and styling to nutrition, immunity, and healthy snacking. The Company manufactures and markets products under the brands such as Parachute, Saffola, Saffola FITTIFY, Hair &amp; Care, Parachute Advansed, Nihar Naturals, Mediker, Pure Sense, Coco Soul, Revive, Set Wet, Livon, Beardo, Just Herbs, True Elements and Plix. The Company's international product portfolio includes brands, such as Parachute, Parachute Advansed, HairCode, Fiancee, Purite de Provence, oliv, Caivil, Hercules, Black Chic, Code 10, Ingwe, X-Men, Thuan Phat and IsoPlus.</v>
    <v>1908</v>
    <v>National Stock Exchange of India</v>
    <v>XNSE</v>
    <v>XNSE</v>
    <v>7th Floor, Grande Palladium, 175,CST Road, Kalina,, Santacruz (East), MUMBAI, MAHARASHTRA, 400098 IN</v>
    <v>764.3</v>
    <v>Food &amp; Tobacco</v>
    <v>Stock</v>
    <v>46038.492893518516</v>
    <v>76</v>
    <v>749.8</v>
    <v>978865100000</v>
    <v>MARICO LIMITED</v>
    <v>MARICO LIMITED</v>
    <v>758.15</v>
    <v>58.24</v>
    <v>749.8</v>
    <v>760.15</v>
    <v>1294709000</v>
    <v>MARICO</v>
    <v>MARICO LIMITED (XNSE:MARICO)</v>
    <v>2731620</v>
    <v>1585440</v>
    <v>1988</v>
  </rv>
  <rv s="2">
    <v>77</v>
  </rv>
  <rv s="0">
    <v>https://www.bing.com/financeapi/forcetrigger?t=ahjn8m&amp;q=XNSE%3aRECLTD&amp;form=skydnc</v>
    <v>Learn more on Bing</v>
  </rv>
  <rv s="1">
    <v>0</v>
    <v>REC LIMITED (XNSE:RECLTD)</v>
    <v>2</v>
    <v>3</v>
    <v>Finance</v>
    <v>4</v>
    <v>en-US</v>
    <v>ahjn8m</v>
    <v>268435456</v>
    <v>1</v>
    <v>Powered by Refinitiv</v>
    <v>495.6</v>
    <v>330.95</v>
    <v>1.2559</v>
    <v>1.1000000000000001</v>
    <v>2.9740000000000001E-3</v>
    <v>INR</v>
    <v>REC Limited is a non-banking financial company (NBFC). The Company's products are interest-bearing loans to state electricity boards, state power utilities/state power departments and the private sector for all segments of power infrastructure. It operates in one business segment which is lending to power, logistics and infrastructure sectors. Its financial products include long-term loan, medium term loan, short-term loan, debt refinancing, equity financing, financing of equipment manufacturing for power sector, financing of coal mines, policy for funding against regulatory assets (excluding return on equity component) of power utilities and a revolving bill payment facility. Its debt refinancing policy is applicable for extending term loans for refinancing existing project term loan of all types of commissioned project in power sector, including renewable energy projects, by government and private sector borrowers. It acts as a nodal agency for the Government of India's schemes.</v>
    <v>573</v>
    <v>National Stock Exchange of India</v>
    <v>XNSE</v>
    <v>XNSE</v>
    <v>Plot No. I-4, Sector 29, Near Iffco Chowk Metro Station, GURGAON, HARYANA, 122001 IN</v>
    <v>377.5</v>
    <v>Banking Services</v>
    <v>Stock</v>
    <v>46038.492905092593</v>
    <v>79</v>
    <v>369.8</v>
    <v>966129900000</v>
    <v>REC LIMITED</v>
    <v>REC LIMITED</v>
    <v>370</v>
    <v>5.64</v>
    <v>369.9</v>
    <v>371</v>
    <v>2633224000</v>
    <v>RECLTD</v>
    <v>REC LIMITED (XNSE:RECLTD)</v>
    <v>8728064</v>
    <v>10583610</v>
    <v>1969</v>
  </rv>
  <rv s="2">
    <v>80</v>
  </rv>
  <rv s="0">
    <v>https://www.bing.com/financeapi/forcetrigger?t=ahkjtc&amp;q=XNSE%3aVEDL&amp;form=skydnc</v>
    <v>Learn more on Bing</v>
  </rv>
  <rv s="1">
    <v>0</v>
    <v>Vedanta Limited (XNSE:VEDL)</v>
    <v>2</v>
    <v>3</v>
    <v>Finance</v>
    <v>4</v>
    <v>en-US</v>
    <v>ahkjtc</v>
    <v>268435456</v>
    <v>1</v>
    <v>Powered by Refinitiv</v>
    <v>686</v>
    <v>363</v>
    <v>1.0799000000000001</v>
    <v>6.95</v>
    <v>1.0284999999999999E-2</v>
    <v>INR</v>
    <v>Vedanta Limited is an India-based company, which specializes in critical minerals, energy transition metals, power, and technology, with operations spanning India, South Africa, Namibia, Liberia, United Arab Emirates, Saudi Arabia, Korea, Taiwan and Japan. Its segments include Zinc, Lead and Silver - India; Zinc - International; Oil &amp; Gas; Aluminium; Copper; Iron Ore; Power and Others. Zinc, Lead and Silver - India segment consists of mining of ore, manufacturing of zinc and lead ingots and silver, both from own mining and purchased concentrate. Zinc - International segment consists of exploration, mining, treatment and production of zinc, lead, copper and associated mineral concentrates for sale. Oil &amp; Gas segment consists of exploration, development and production of oil and gas. Aluminium segment consists of mining of bauxite and manufacturing of alumina and various aluminum products. Iron ore segment consists of mining of ore and manufacturing of pig iron and metallurgical coke.</v>
    <v>8354</v>
    <v>National Stock Exchange of India</v>
    <v>XNSE</v>
    <v>XNSE</v>
    <v>1st Floor, C wing, Unit 103, Corporate Avenue Atul Projects, Chakala, Andheri (East), MUMBAI, MAHARASHTRA, 400093 IN</v>
    <v>686</v>
    <v>Metals &amp; Mining</v>
    <v>Stock</v>
    <v>46038.49291666667</v>
    <v>82</v>
    <v>664.35</v>
    <v>2488569000000</v>
    <v>Vedanta Limited</v>
    <v>Vedanta Limited</v>
    <v>675.75</v>
    <v>22.96</v>
    <v>675.75</v>
    <v>682.7</v>
    <v>3905475000</v>
    <v>VEDL</v>
    <v>Vedanta Limited (XNSE:VEDL)</v>
    <v>27743749</v>
    <v>14876680</v>
    <v>1965</v>
  </rv>
  <rv s="2">
    <v>83</v>
  </rv>
  <rv s="0">
    <v>https://www.bing.com/financeapi/forcetrigger?t=ahh9h7&amp;q=XNSE%3aBPCL&amp;form=skydnc</v>
    <v>Learn more on Bing</v>
  </rv>
  <rv s="1">
    <v>0</v>
    <v>BHARAT PETROLEUM CORPORATION LIMITED (XNSE:BPCL)</v>
    <v>2</v>
    <v>3</v>
    <v>Finance</v>
    <v>4</v>
    <v>en-US</v>
    <v>ahh9h7</v>
    <v>268435456</v>
    <v>1</v>
    <v>Powered by Refinitiv</v>
    <v>388.15</v>
    <v>234.01</v>
    <v>1.4005000000000001</v>
    <v>6.3</v>
    <v>1.7652000000000001E-2</v>
    <v>INR</v>
    <v>Bharat Petroleum Corporation Limited is an India-based company, which is engaged in the refining of crude oil and marketing of petroleum products. Its segments include Downstream Petroleum and Exploration &amp; Production of Hydrocarbons. Its businesses include fuels and services, Bharatgas, MAK lubricants, aviation services, gas, industrial and commercial, international trade, proficiency testing, and pipelines. It has a variety of product offerings, like petrol, diesel, automotive LPG and CNG along with premium petrol products like Speed and Speed 97. It offers specialized fuel station formats like Ghar, Highway Star, Pure for Sure, and other such services. MAK Lubricants provides lubricants and greases in India and international markets. It has refineries in Mumbai, Kochi and Bina, LPG bottling plants and Lube blending plants at various locations. Its marketing infrastructure includes a network of installations, depots, retail outlets, aviation fueling stations and LPG distributors.</v>
    <v>8747</v>
    <v>National Stock Exchange of India</v>
    <v>XNSE</v>
    <v>XNSE</v>
    <v>Bharat Bhavan, 4 &amp; 6, Currimbhoy Road, Ballard Estate, MUMBAI, MAHARASHTRA, 400001 IN</v>
    <v>367.75</v>
    <v>Oil &amp; Gas</v>
    <v>Stock</v>
    <v>46038.492881944447</v>
    <v>85</v>
    <v>358</v>
    <v>1540603000000</v>
    <v>BHARAT PETROLEUM CORPORATION LIMITED</v>
    <v>BHARAT PETROLEUM CORPORATION LIMITED</v>
    <v>358</v>
    <v>7.18</v>
    <v>356.9</v>
    <v>363.2</v>
    <v>4338505000</v>
    <v>BPCL</v>
    <v>BHARAT PETROLEUM CORPORATION LIMITED (XNSE:BPCL)</v>
    <v>6243090</v>
    <v>5780770</v>
    <v>1952</v>
  </rv>
  <rv s="2">
    <v>86</v>
  </rv>
  <rv s="0">
    <v>https://www.bing.com/financeapi/forcetrigger?t=ahherw&amp;q=XNSE%3aCOALINDIA&amp;form=skydnc</v>
    <v>Learn more on Bing</v>
  </rv>
  <rv s="1">
    <v>0</v>
    <v>COAL INDIA LTD (XNSE:COALINDIA)</v>
    <v>2</v>
    <v>3</v>
    <v>Finance</v>
    <v>4</v>
    <v>en-US</v>
    <v>ahherw</v>
    <v>268435456</v>
    <v>1</v>
    <v>Powered by Refinitiv</v>
    <v>442</v>
    <v>349.25</v>
    <v>0.97619999999999996</v>
    <v>-1.2</v>
    <v>-2.7760000000000003E-3</v>
    <v>INR</v>
    <v>Coal India Ltd.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 has over 21 training Institutes and 76 Vocational Training Centers. The Company operates the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 Premise No-04 MAR,, Plot No-AF-III,Action Area-1A,, Newtown,Rajarhat, KOLKATA, WEST BENGAL, 700156 IN</v>
    <v>433.6</v>
    <v>Coal</v>
    <v>Stock</v>
    <v>46038.492881944447</v>
    <v>88</v>
    <v>428</v>
    <v>2643194000000</v>
    <v>COAL INDIA LTD</v>
    <v>COAL INDIA LTD</v>
    <v>432.2</v>
    <v>8.5299999999999994</v>
    <v>432.2</v>
    <v>431</v>
    <v>6162729000</v>
    <v>COALINDIA</v>
    <v>COAL INDIA LTD (XNSE:COALINDIA)</v>
    <v>6410141</v>
    <v>12267390</v>
    <v>1973</v>
  </rv>
  <rv s="2">
    <v>89</v>
  </rv>
  <rv s="0">
    <v>https://www.bing.com/financeapi/forcetrigger?t=ahh4nm&amp;q=XNSE%3aBANKBARODA&amp;form=skydnc</v>
    <v>Learn more on Bing</v>
  </rv>
  <rv s="1">
    <v>0</v>
    <v>THE BANK OF BARODA LIMITED (XNSE:BANKBARODA)</v>
    <v>2</v>
    <v>3</v>
    <v>Finance</v>
    <v>4</v>
    <v>en-US</v>
    <v>ahh4nm</v>
    <v>268435456</v>
    <v>1</v>
    <v>Powered by Refinitiv</v>
    <v>313.35000000000002</v>
    <v>190.7</v>
    <v>1.3485</v>
    <v>0.55000000000000004</v>
    <v>1.787E-3</v>
    <v>INR</v>
    <v>The Bank of Baroda Limited is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provides a range of digital products, such as bob world merchant (POS), bob world tab, bobworld digital rupee, debit card e-mandate, tokenisation, instant banking, cards, FASTag, phone banking, doorstep banking, automated teller machines (ATMs) and kiosks, and others. It offers a range of loans, such as home loans, vehicle loans, personal loans, baroda yoddha loans for defense personnel, education loans, other loans, gold loans, mortgage loans, and fintech. It offers range of insurance, such as general insurance, life insurance, and standalone health insurance. The Bank has 8,463 branches, and 9,316 ATMs.</v>
    <v>75008</v>
    <v>National Stock Exchange of India</v>
    <v>XNSE</v>
    <v>XNSE</v>
    <v>Baroda Corporate Centre, Plot No. C-26, Block G, Bandra Kurla Complex, Bandra (East), MUMBAI, MAHARASHTRA, 400051 IN</v>
    <v>313.35000000000002</v>
    <v>Banking Services</v>
    <v>Stock</v>
    <v>46038.492881944447</v>
    <v>91</v>
    <v>306.10000000000002</v>
    <v>1560976000000</v>
    <v>THE BANK OF BARODA LIMITED</v>
    <v>THE BANK OF BARODA LIMITED</v>
    <v>307.7</v>
    <v>8.27</v>
    <v>307.7</v>
    <v>308.25</v>
    <v>5171362000</v>
    <v>BANKBARODA</v>
    <v>THE BANK OF BARODA LIMITED (XNSE:BANKBARODA)</v>
    <v>16690141</v>
    <v>9169820</v>
    <v>1911</v>
  </rv>
  <rv s="2">
    <v>92</v>
  </rv>
  <rv s="0">
    <v>https://www.bing.com/financeapi/forcetrigger?t=ahh2gh&amp;q=XNSE%3aAXISBANK&amp;form=skydnc</v>
    <v>Learn more on Bing</v>
  </rv>
  <rv s="1">
    <v>0</v>
    <v>Axis Bank Limited (XNSE:AXISBANK)</v>
    <v>2</v>
    <v>3</v>
    <v>Finance</v>
    <v>4</v>
    <v>en-US</v>
    <v>ahh2gh</v>
    <v>268435456</v>
    <v>1</v>
    <v>Powered by Refinitiv</v>
    <v>1309</v>
    <v>933.5</v>
    <v>1.1879</v>
    <v>-4.5999999999999996</v>
    <v>-3.542E-3</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1309</v>
    <v>Banking Services</v>
    <v>Stock</v>
    <v>46038.492881944447</v>
    <v>94</v>
    <v>1286.5</v>
    <v>3918788000000</v>
    <v>Axis Bank Limited</v>
    <v>Axis Bank Limited</v>
    <v>1298.8</v>
    <v>15.48</v>
    <v>1298.8</v>
    <v>1294.2</v>
    <v>3105308000</v>
    <v>AXISBANK</v>
    <v>Axis Bank Limited (XNSE:AXISBANK)</v>
    <v>5175495</v>
    <v>5516250</v>
    <v>1993</v>
  </rv>
  <rv s="2">
    <v>95</v>
  </rv>
  <rv s="0">
    <v>https://www.bing.com/financeapi/forcetrigger?t=ahh7a2&amp;q=XNSE%3aBHARTIARTL&amp;form=skydnc</v>
    <v>Learn more on Bing</v>
  </rv>
  <rv s="1">
    <v>0</v>
    <v>Bharti Airtel Limited (XNSE:BHARTIARTL)</v>
    <v>2</v>
    <v>3</v>
    <v>Finance</v>
    <v>4</v>
    <v>en-US</v>
    <v>ahh7a2</v>
    <v>268435456</v>
    <v>1</v>
    <v>Powered by Refinitiv</v>
    <v>2174.5</v>
    <v>1559.5</v>
    <v>0.78759999999999997</v>
    <v>-6.1</v>
    <v>-3.0159999999999996E-3</v>
    <v>INR</v>
    <v>Bharti Airtel Limited is a telecommunication company. It operates through two business divisions: India &amp; South Asia and Africa. Its B2C Services consists of Mobile Services (India), Homes Services, and Digital TV Services. Its B2B Services consists of Airtel Business, Passive Infrastructure Services and South Asia. Its Mobile Services (India) segment offers postpaid, pre-paid, roaming, Internet and other value-added services. Its Homes Services segment provides fixed-line telephone and broadband services for homes in approximately 1,512 cities. Its Digital TV Services provides direct-to-home platform, which offers a total of 709 channels including 99 HD channels, 67 SVOD services, four international channels and five interactive services. Its Airtel Business segment offers fixed-line voice (PRIs), data and other connectivity solutions, such as Multi-Protocol Label Switching, Voice over Internet Protocol, SIP trucking. Its South Asia segment represents its operation in Bangladesh.</v>
    <v>28701</v>
    <v>National Stock Exchange of India</v>
    <v>XNSE</v>
    <v>XNSE</v>
    <v>Bharti Crescent 1 Nelson Mandela Road, Vasant Kunj, Phase II, NEW DELHI, DELHI, 110070 IN</v>
    <v>2029.7</v>
    <v>Telecommunications Services</v>
    <v>Stock</v>
    <v>46038.492881944447</v>
    <v>97</v>
    <v>1988.7</v>
    <v>12184380000000</v>
    <v>Bharti Airtel Limited</v>
    <v>Bharti Airtel Limited</v>
    <v>2020</v>
    <v>30.39</v>
    <v>2022.5</v>
    <v>2016.4</v>
    <v>6091080000</v>
    <v>BHARTIARTL</v>
    <v>Bharti Airtel Limited (XNSE:BHARTIARTL)</v>
    <v>7310676</v>
    <v>4757900</v>
    <v>1995</v>
  </rv>
  <rv s="2">
    <v>98</v>
  </rv>
  <rv s="0">
    <v>https://www.bing.com/financeapi/forcetrigger?t=ahiism&amp;q=XNSE%3aJSWSTEEL&amp;form=skydnc</v>
    <v>Learn more on Bing</v>
  </rv>
  <rv s="1">
    <v>0</v>
    <v>JSW Steel Limited (XNSE:JSWSTEEL)</v>
    <v>2</v>
    <v>3</v>
    <v>Finance</v>
    <v>4</v>
    <v>en-US</v>
    <v>ahiism</v>
    <v>268435456</v>
    <v>1</v>
    <v>Powered by Refinitiv</v>
    <v>1223.9000000000001</v>
    <v>880</v>
    <v>0.76480000000000004</v>
    <v>5.5</v>
    <v>4.6540000000000002E-3</v>
    <v>INR</v>
    <v>JSW Steel Limited is an India-based company, which is engaged in the business of manufacturing steel products. The Company's steel types include flat and long products. Its flat products include hot rolled, cold rolled, color coated products, galvanized, and galvalume. The Company's long products include TMT bars, wire rods, special alloy steel and grinding media. The Company's brands include JSW Silveron+, JSW Everglow, JSW Colouron+, JSW Pragati+, JSW Vishwas, JSW Galvos, JSW Galveco, JSW Platina, JSW Neosteel, JSW Trusteel, JSW Avante and JSW Radiance. It has a strategic collaboration with JFE Steel of Japan, enabling it to access technologies to produce &amp; offer special steel products to its customers. These products are extensively used across various industries and applications. It has manufacturing facilities located at Vijayanagar works in Karnataka, Dolvi works in Maharashtra and Salem works in Tamil Nadu, Raigarh Works in Chhattisgarh and also in the United States and Italy.</v>
    <v>15793</v>
    <v>National Stock Exchange of India</v>
    <v>XNSE</v>
    <v>XNSE</v>
    <v>JSW Centre, Bandra-Kurla Complex, Bandra East, MUMBAI, MAHARASHTRA, 400051 IN</v>
    <v>1199.3</v>
    <v>Metals &amp; Mining</v>
    <v>Stock</v>
    <v>46038.492893518516</v>
    <v>100</v>
    <v>1179.2</v>
    <v>2877565000000</v>
    <v>JSW Steel Limited</v>
    <v>JSW Steel Limited</v>
    <v>1181.8</v>
    <v>47.85</v>
    <v>1181.8</v>
    <v>1187.3</v>
    <v>2442547000</v>
    <v>JSWSTEEL</v>
    <v>JSW Steel Limited (XNSE:JSWSTEEL)</v>
    <v>1883089</v>
    <v>1355890</v>
    <v>1994</v>
  </rv>
  <rv s="2">
    <v>101</v>
  </rv>
  <rv s="0">
    <v>https://www.bing.com/financeapi/forcetrigger?t=ahj8rw&amp;q=XNSE%3aNTPC&amp;form=skydnc</v>
    <v>Learn more on Bing</v>
  </rv>
  <rv s="1">
    <v>0</v>
    <v>NTPC LIMITED (XNSE:NTPC)</v>
    <v>2</v>
    <v>3</v>
    <v>Finance</v>
    <v>4</v>
    <v>en-US</v>
    <v>ahj8rw</v>
    <v>268435456</v>
    <v>1</v>
    <v>Powered by Refinitiv</v>
    <v>371.45</v>
    <v>292.8</v>
    <v>1.0586</v>
    <v>-2.75</v>
    <v>-7.8770000000000003E-3</v>
    <v>INR</v>
    <v>NTPC Limited is an India-based power generating company. The Company is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and gas exploration, and coal mining. The Company operates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National Stock Exchange of India</v>
    <v>XNSE</v>
    <v>XNSE</v>
    <v>NTPC Bhawan, SCOPE Complex, Institutional Area, Lodhi Road, NEW DELHI, DELHI, 110003 IN</v>
    <v>354.05</v>
    <v>Electrical Utilities &amp; IPPs</v>
    <v>Stock</v>
    <v>46038.492893518516</v>
    <v>103</v>
    <v>345.4</v>
    <v>3276504000000</v>
    <v>NTPC LIMITED</v>
    <v>NTPC LIMITED</v>
    <v>352.65</v>
    <v>14.25</v>
    <v>349.1</v>
    <v>346.35</v>
    <v>9696666000</v>
    <v>NTPC</v>
    <v>NTPC LIMITED (XNSE:NTPC)</v>
    <v>14275582</v>
    <v>12188930</v>
    <v>1975</v>
  </rv>
  <rv s="2">
    <v>104</v>
  </rv>
  <rv s="0">
    <v>https://www.bing.com/financeapi/forcetrigger?t=ahkaa2&amp;q=XNSE%3aTATASTEEL&amp;form=skydnc</v>
    <v>Learn more on Bing</v>
  </rv>
  <rv s="1">
    <v>0</v>
    <v>TATA STEEL LIMITED (XNSE:TATASTEEL)</v>
    <v>2</v>
    <v>3</v>
    <v>Finance</v>
    <v>4</v>
    <v>en-US</v>
    <v>ahkaa2</v>
    <v>268435456</v>
    <v>1</v>
    <v>Powered by Refinitiv</v>
    <v>191</v>
    <v>122.62</v>
    <v>1.1456</v>
    <v>-1.04</v>
    <v>-5.4949999999999999E-3</v>
    <v>INR</v>
    <v>Tata Steel Limited is an India-based global steel company with an annual crude steel capacity of approximately 35 million tons per annum. The Company is primarily engaged in the business of manufacturing and distribution of steel products across the globe. The Company and its subsidiaries have a presence across the value chain of steel manufacturing, from mining and processing iron ore and coal to producing and distributing finished products. Its products include cold rolled (Non-branded), BP sheets, Galvano, HR commercial, hot rolled pickled and oiled and hot rolled skin passed pickled and oiled, high tensile steel strapping, pre-engineered buildings, projects/ tenders, construction and projects, and full hard cold rolled. The Company's brands include MagiZinc, Ymagine, Ympress, Contiflo, Strongbox, SAB Profil, Fischer Profil, Montana, Advantica, Fischertherm, Fischerfireproof, Montanatherm, Montapanel, Swiss Panel, Holorib, Serica, MagiZinc Auto, HyperForm, HILUMIN and Colorcoat.</v>
    <v>115788</v>
    <v>National Stock Exchange of India</v>
    <v>XNSE</v>
    <v>XNSE</v>
    <v>Bombay House, 24, Homi Modi Street, MUMBAI, MAHARASHTRA, 400001 IN</v>
    <v>191</v>
    <v>Metals &amp; Mining</v>
    <v>Stock</v>
    <v>46038.492905092593</v>
    <v>106</v>
    <v>187.31</v>
    <v>2279118000000</v>
    <v>TATA STEEL LIMITED</v>
    <v>TATA STEEL LIMITED</v>
    <v>190.05</v>
    <v>34.65</v>
    <v>189.25</v>
    <v>188.21</v>
    <v>12485450000</v>
    <v>TATASTEEL</v>
    <v>TATA STEEL LIMITED (XNSE:TATASTEEL)</v>
    <v>26028519</v>
    <v>28652520</v>
    <v>1907</v>
  </rv>
  <rv s="2">
    <v>107</v>
  </rv>
  <rv s="0">
    <v>https://www.bing.com/financeapi/forcetrigger?t=bsg5qh&amp;q=XNSE%3aIRCTC&amp;form=skydnc</v>
    <v>Learn more on Bing</v>
  </rv>
  <rv s="1">
    <v>0</v>
    <v>INDIAN RAILWAY CATERING AND TOURISM CORPORATION LIMITED (XNSE:IRCTC)</v>
    <v>2</v>
    <v>3</v>
    <v>Finance</v>
    <v>4</v>
    <v>en-US</v>
    <v>bsg5qh</v>
    <v>268435456</v>
    <v>1</v>
    <v>Powered by Refinitiv</v>
    <v>831.75</v>
    <v>626</v>
    <v>1.6640999999999999</v>
    <v>0.2</v>
    <v>3.188E-4</v>
    <v>INR</v>
    <v>Indian Railway Catering and Tourism Corporation Limited is engaged in providing online railway tickets, catering services to railways and packaged drinking water at railway stations and trains in India. The Company's segments include Catering, Rail Neer, Internet Ticketing, and Tourism. Its catering services include mobile catering services, e-catering services, and static catering services. It offers static catering through food plaza, fast food units, refreshment rooms, base kitchens, and other facilities on station premises, retiring rooms, and dormitories. Rail Neer is the Company's branded bottled drinking water. The Company operates approximately 19 Rail Neer plants. It provides customers with multi-modal transport ticket booking facilities, covering railway, roadways and air travel. Its comprehensive range of tourism and hospitality offerings includes luxury train tours, hotel bookings, domestic air packages, rail tour packages, outbound tour packages, and holiday packages.</v>
    <v>1338</v>
    <v>National Stock Exchange of India</v>
    <v>XNSE</v>
    <v>XNSE</v>
    <v>IRCTC Ltd, 11th Floor, B ? 148, Statesman House, Barakhamba Road, New Delhi ? 110 001, Delhi, Indi, DELHI, DELHI, 110001 IN</v>
    <v>634.1</v>
    <v>Passenger Transportation Services</v>
    <v>Stock</v>
    <v>46038.492893518516</v>
    <v>109</v>
    <v>626.04999999999995</v>
    <v>504160000000</v>
    <v>INDIAN RAILWAY CATERING AND TOURISM CORPORATION LIMITED</v>
    <v>INDIAN RAILWAY CATERING AND TOURISM CORPORATION LIMITED</v>
    <v>627.45000000000005</v>
    <v>36.590000000000003</v>
    <v>627.45000000000005</v>
    <v>627.65</v>
    <v>800000000</v>
    <v>IRCTC</v>
    <v>INDIAN RAILWAY CATERING AND TOURISM CORPORATION LIMITED (XNSE:IRCTC)</v>
    <v>1152976</v>
    <v>1569940</v>
    <v>1999</v>
  </rv>
  <rv s="2">
    <v>110</v>
  </rv>
  <rv s="0">
    <v>https://www.bing.com/financeapi/forcetrigger?t=ahi3dm&amp;q=XNSE%3aHCLTECH&amp;form=skydnc</v>
    <v>Learn more on Bing</v>
  </rv>
  <rv s="1">
    <v>0</v>
    <v>HCL TECHNOLOGIES LIMITED (XNSE:HCLTECH)</v>
    <v>2</v>
    <v>3</v>
    <v>Finance</v>
    <v>4</v>
    <v>en-US</v>
    <v>ahi3dm</v>
    <v>268435456</v>
    <v>1</v>
    <v>Powered by Refinitiv</v>
    <v>2005.46</v>
    <v>1302.75</v>
    <v>0.94789999999999996</v>
    <v>29.5</v>
    <v>1.7680999999999999E-2</v>
    <v>INR</v>
    <v>HCL Technologies Limited is a technology company. It is engaged in providing a range of information technology (IT) and business services, engineering and research and development (R&amp;D) services and software products and IP-led offerings. Its segments include IT and Business services, Engineering and R&amp;D services, and HCL Software. IT and Business Services segment provide a comprehensive portfolio of IT and Business Services, such as application, infrastructure and digital process operations) and digital transformation services enabled by digital and analytics, IoTWoRKs, Cloud native and Cybersecurity solutions including products developed within these businesses. Engineering and R&amp;D Services provides engineering services and solutions across software, embedded, mechanical, VLSI and platform engineering that support the end-to-end lifecycle of products both hardware and software across diverse industries. HCL Software segment provides modernized software products and IP-led offerings.</v>
    <v>226640</v>
    <v>National Stock Exchange of India</v>
    <v>XNSE</v>
    <v>XNSE</v>
    <v>Technology Hub, SEZ, Plot No. 3A, Sector 126, NOIDA, UTTAR PRADESH, 201304 IN</v>
    <v>1700.9</v>
    <v>Software &amp; IT Services</v>
    <v>Stock</v>
    <v>46038.492893518516</v>
    <v>112</v>
    <v>1664.8</v>
    <v>4504675000000</v>
    <v>HCL TECHNOLOGIES LIMITED</v>
    <v>HCL TECHNOLOGIES LIMITED</v>
    <v>1670</v>
    <v>27.46</v>
    <v>1668.5</v>
    <v>1698</v>
    <v>2705510000</v>
    <v>HCLTECH</v>
    <v>HCL TECHNOLOGIES LIMITED (XNSE:HCLTECH)</v>
    <v>3098089</v>
    <v>3124210</v>
    <v>1991</v>
  </rv>
  <rv s="2">
    <v>113</v>
  </rv>
  <rv s="0">
    <v>https://www.bing.com/financeapi/forcetrigger?t=ahi59c&amp;q=XNSE%3aHINDALCO&amp;form=skydnc</v>
    <v>Learn more on Bing</v>
  </rv>
  <rv s="1">
    <v>0</v>
    <v>HINDALCO INDUSTRIES LIMITED (XNSE:HINDALCO)</v>
    <v>2</v>
    <v>3</v>
    <v>Finance</v>
    <v>4</v>
    <v>en-US</v>
    <v>ahi59c</v>
    <v>268435456</v>
    <v>1</v>
    <v>Powered by Refinitiv</v>
    <v>970.8</v>
    <v>546.45000000000005</v>
    <v>1.5337000000000001</v>
    <v>-20.7</v>
    <v>-2.1667000000000002E-2</v>
    <v>INR</v>
    <v>Hindalco Industries Limited is an India-based metals flagship company. The Company is primarily engaged in the business of manufacturing and distribution of aluminium, copper, and its products across the globe. It operates through four segments: Novelis, Aluminium Upstream, Aluminium Downstream and Copper. The Novelis segment is engaged in producing and selling aluminium sheet and light gauge products and operating in four continents: North America, South America, Europe, and Asia. The Aluminium Upstream segment is engaged in bauxite and coal mining, alumina specials, refineries, metal, and power. The Aluminium Downstream segment includes aluminium value-added products, such as flat rolled products, extrusion, and foils. The Copper segment includes copper cathode, copper rods, precious metals, and di-ammonium phosphate. Its brands include Hindalco PrizTec, Hindalco Ecoedge C, Hindalco Ecoedge G, Hindalco Everlast, Eternia, Freshwrapp, FUSALOX and Totalis.</v>
    <v>24088</v>
    <v>National Stock Exchange of India</v>
    <v>XNSE</v>
    <v>XNSE</v>
    <v>Birla Centurion, 7th floor, Pandurang Budhkar Road, Worli, MUMBAI, MAHARASHTRA, 400030 IN</v>
    <v>966.5</v>
    <v>Metals &amp; Mining</v>
    <v>Stock</v>
    <v>46038.492893518516</v>
    <v>115</v>
    <v>930</v>
    <v>2092750000000</v>
    <v>HINDALCO INDUSTRIES LIMITED</v>
    <v>HINDALCO INDUSTRIES LIMITED</v>
    <v>966.5</v>
    <v>11.94</v>
    <v>955.35</v>
    <v>934.65</v>
    <v>2235128000</v>
    <v>HINDALCO</v>
    <v>HINDALCO INDUSTRIES LIMITED (XNSE:HINDALCO)</v>
    <v>4037987</v>
    <v>6151870</v>
    <v>1958</v>
  </rv>
  <rv s="2">
    <v>116</v>
  </rv>
  <rv s="0">
    <v>https://www.bing.com/financeapi/forcetrigger?t=ahh1k2&amp;q=XNSE%3aAUROPHARMA&amp;form=skydnc</v>
    <v>Learn more on Bing</v>
  </rv>
  <rv s="1">
    <v>0</v>
    <v>AUROBINDO PHARMA LTD (XNSE:AUROPHARMA)</v>
    <v>2</v>
    <v>3</v>
    <v>Finance</v>
    <v>4</v>
    <v>en-US</v>
    <v>ahh1k2</v>
    <v>268435456</v>
    <v>1</v>
    <v>Powered by Refinitiv</v>
    <v>1278.5999999999999</v>
    <v>1010</v>
    <v>0.73219999999999996</v>
    <v>-7.4</v>
    <v>-6.2709999999999997E-3</v>
    <v>INR</v>
    <v>Aurobindo Pharma Limited is an India-based pharmaceutical company. The Company is principally engaged in manufacturing and marketing of active pharmaceutical ingredients, branded pharmaceuticals, generic pharmaceuticals, and related services. Its key therapeutic segments include Central nervous systems (CNS), Antiretrovirals (ARVs), Cardiovascular (CVS), SSP - Orals and Sterile, Anti-infectives, Anti-diabetics and Cephalosporins - Orals. It is engaged in developing a range of oncology, non-oncology prescription formulation, and hormonal products. It is developing topical as well as transdermal products in the dermatology therapeutic segment. It is marketing its products globally in approximately 150 countries. Its subsidiaries include APL Healthcare Limited, Auronext Pharma Private Limited, Auro Peptides Limited, APL Pharma Thai Limited, Auro Pharma Inc, Aurobindo Pharma (Malta) Limited, APL Swift Services (Malta) Limited, Aurobindo Pharma Industria Farmaceutica Ltd, and others.</v>
    <v>9107</v>
    <v>National Stock Exchange of India</v>
    <v>XNSE</v>
    <v>XNSE</v>
    <v>Galaxy, Floors: 22-24,, Plot No.1, Survey No.83/1,, Hyderabad Knowledge City, Raidurg Panmaktha, Ranga Reddy District,, HYDERABAD, TELANGANA, 500032 IN</v>
    <v>1195.5</v>
    <v>Pharmaceuticals</v>
    <v>Stock</v>
    <v>46038.492881944447</v>
    <v>118</v>
    <v>1166.3</v>
    <v>678202100000</v>
    <v>AUROBINDO PHARMA LTD</v>
    <v>AUROBINDO PHARMA LTD</v>
    <v>1174.2</v>
    <v>20.03</v>
    <v>1180.0999999999999</v>
    <v>1172.7</v>
    <v>580801600</v>
    <v>AUROPHARMA</v>
    <v>AUROBINDO PHARMA LTD (XNSE:AUROPHARMA)</v>
    <v>909022</v>
    <v>981850</v>
    <v>1986</v>
  </rv>
  <rv s="2">
    <v>119</v>
  </rv>
  <rv s="0">
    <v>https://www.bing.com/financeapi/forcetrigger?t=ahisfr&amp;q=XNSE%3aLUPIN&amp;form=skydnc</v>
    <v>Learn more on Bing</v>
  </rv>
  <rv s="1">
    <v>0</v>
    <v>LUPIN LIMITED (XNSE:LUPIN)</v>
    <v>2</v>
    <v>3</v>
    <v>Finance</v>
    <v>4</v>
    <v>en-US</v>
    <v>ahisfr</v>
    <v>268435456</v>
    <v>1</v>
    <v>Powered by Refinitiv</v>
    <v>2226.3000000000002</v>
    <v>1795.2</v>
    <v>0.69579999999999997</v>
    <v>-18</v>
    <v>-8.1969999999999994E-3</v>
    <v>INR</v>
    <v>Lupin Limited is a global pharmaceutical company, with products distributed in over 100 markets. It specializes in pharmaceutical products, including branded and generic formulations, complex generics, biotechnology products, and active pharmaceutical ingredients. It operates in India and the United States across multiple therapy areas, including respiratory, cardiovascular, anti-diabetic, anti-infective, gastrointestinal, central nervous system, and women’s health. It has a presence in the Cardiovascular, Diabetology, Asthma, Pediatrics, Central Nervous System, Gastro-Intestinal, Anti-Infectives and Nonsteroidal Anti-Inflammatory Drug therapy segments and operates in the Anti-TB and Cephalosporins segments. Its generic formulations include Filgrastim, Peg filgrastim, Etanercept and Albuterol. Its diabetes brands include Gibtulio, Ajaduo, Gibtulio Met, ONDERO and ONDERO MET. Its other brands include AntaGolin, RyChol and others. Its Huminsulin range of products includes Insulin Human.</v>
    <v>19979</v>
    <v>National Stock Exchange of India</v>
    <v>XNSE</v>
    <v>XNSE</v>
    <v>3rd Floor, Kalpataru Inspire,, Off. Western Expressway Highway,, Santacruz (East),, MUMBAI, MAHARASHTRA, 400055 IN</v>
    <v>2217.4</v>
    <v>Pharmaceuticals</v>
    <v>Stock</v>
    <v>46038.492893518516</v>
    <v>121</v>
    <v>2173</v>
    <v>995364600000</v>
    <v>LUPIN LIMITED</v>
    <v>LUPIN LIMITED</v>
    <v>2205</v>
    <v>23.18</v>
    <v>2195.9</v>
    <v>2177.9</v>
    <v>456798800</v>
    <v>LUPIN</v>
    <v>LUPIN LIMITED (XNSE:LUPIN)</v>
    <v>1011431</v>
    <v>839450</v>
    <v>1983</v>
  </rv>
  <rv s="2">
    <v>122</v>
  </rv>
  <rv s="0">
    <v>https://www.bing.com/financeapi/forcetrigger?t=ahibur&amp;q=XNSE%3aINDUSINDBK&amp;form=skydnc</v>
    <v>Learn more on Bing</v>
  </rv>
  <rv s="1">
    <v>0</v>
    <v>INDUSIND BANK LTD. (XNSE:INDUSINDBK)</v>
    <v>2</v>
    <v>3</v>
    <v>Finance</v>
    <v>4</v>
    <v>en-US</v>
    <v>ahibur</v>
    <v>268435456</v>
    <v>1</v>
    <v>Powered by Refinitiv</v>
    <v>1086.55</v>
    <v>606</v>
    <v>1.2713000000000001</v>
    <v>9.35</v>
    <v>9.8989999999999998E-3</v>
    <v>INR</v>
    <v>IndusInd Bank Limited (the Bank) is engaged in providing financial services. The Bank offers a wide range of products and services for individuals and corporates, including microfinance, personal loans, personal and commercial vehicle loans, credit cards and small to medium enterprise (SME) loans. The Bank's segments include Treasury, Corporate/ Wholesale Banking, Retail Banking, and Other Banking Operation. The Treasury segment includes all investment portfolios, profit/ loss on sale of investments, profit/ loss on foreign exchange transactions, equities, income from derivatives and money market operations. The Corporate/ Wholesale Banking segment includes lending to and deposits from corporate customers and identified earnings and expenses of the segment. The Retail Banking segment includes lending to and deposits from retail customers and identifies earnings and expenses of the segment. The Retail Banking segment is sub-divided into Digital Banking and Other Retail Banking segment.</v>
    <v>44974</v>
    <v>National Stock Exchange of India</v>
    <v>XNSE</v>
    <v>XNSE</v>
    <v>8th floor, Tower 1, One World Center, Senapati Bapat Marg, Elphinstone Road (W), MUMBAI, MAHARASHTRA, 400013 IN</v>
    <v>960.2</v>
    <v>Banking Services</v>
    <v>Stock</v>
    <v>46038.492893518516</v>
    <v>124</v>
    <v>938.05</v>
    <v>709387600000</v>
    <v>INDUSIND BANK LTD.</v>
    <v>INDUSIND BANK LTD.</v>
    <v>945</v>
    <v>0</v>
    <v>944.5</v>
    <v>953.85</v>
    <v>779076000</v>
    <v>INDUSINDBK</v>
    <v>INDUSIND BANK LTD. (XNSE:INDUSINDBK)</v>
    <v>10345071</v>
    <v>4989600</v>
    <v>1994</v>
  </rv>
  <rv s="2">
    <v>125</v>
  </rv>
  <rv s="0">
    <v>https://www.bing.com/financeapi/forcetrigger?t=ahinjc&amp;q=XNSE%3aKOTAKBANK&amp;form=skydnc</v>
    <v>Learn more on Bing</v>
  </rv>
  <rv s="1">
    <v>0</v>
    <v>KOTAK MAHINDRA BANK LIMITED (XNSE:KOTAKBANK)</v>
    <v>2</v>
    <v>3</v>
    <v>Finance</v>
    <v>4</v>
    <v>en-US</v>
    <v>ahinjc</v>
    <v>268435456</v>
    <v>1</v>
    <v>Powered by Refinitiv</v>
    <v>2301.9</v>
    <v>417.1</v>
    <v>0.86909999999999998</v>
    <v>-2.8</v>
    <v>-6.6510000000000007E-3</v>
    <v>INR</v>
    <v>Kotak Mahindra Bank Limited is an India-based diversified financial services company. The Company's segments include Corporate/Wholesale Banking; Retail Banking; Treasury, Balance Sheet Management Unit (BMU) and Corporate Centre; Vehicle Financing; Other Lending Activities; Broking; Advisory and Transactional Services; Asset Management, and Insurance. Corporate/Wholesale Banking segment includes wholesale borrowings and lending and other related services to the corporate sector. Retail Banking segment comprises of digital banking and other retail banking. Vehicle Financing segment includes retail vehicle financing and wholesale trade financing to auto dealers. Other Lending Activities segment includes securitization and other loans/services. Advisory and Transactional Services segment provides financial advisory and transactional services such as mergers and acquisition advice, equity/debt issue management services and business correspondent services.</v>
    <v>61170</v>
    <v>National Stock Exchange of India</v>
    <v>XNSE</v>
    <v>XNSE</v>
    <v>27Bkc, C 27, G Block, Bandra Kurla Complex, Bandra (E), MUMBAI, MAHARASHTRA, 400051 IN</v>
    <v>427.6</v>
    <v>Banking Services</v>
    <v>Stock</v>
    <v>46038.492893518516</v>
    <v>127</v>
    <v>417.1</v>
    <v>4241952000000</v>
    <v>KOTAK MAHINDRA BANK LIMITED</v>
    <v>KOTAK MAHINDRA BANK LIMITED</v>
    <v>424</v>
    <v>22.53</v>
    <v>421</v>
    <v>418.2</v>
    <v>10945490000</v>
    <v>KOTAKBANK</v>
    <v>KOTAK MAHINDRA BANK LIMITED (XNSE:KOTAKBANK)</v>
    <v>17993251</v>
    <v>12505090</v>
    <v>1985</v>
  </rv>
  <rv s="2">
    <v>128</v>
  </rv>
  <rv s="0">
    <v>https://www.bing.com/financeapi/forcetrigger?t=ahirxm&amp;q=XNSE%3aLT&amp;form=skydnc</v>
    <v>Learn more on Bing</v>
  </rv>
  <rv s="1">
    <v>0</v>
    <v>LARSEN AND TOUBRO LIMITED (XNSE:LT)</v>
    <v>2</v>
    <v>3</v>
    <v>Finance</v>
    <v>4</v>
    <v>en-US</v>
    <v>ahirxm</v>
    <v>268435456</v>
    <v>1</v>
    <v>Powered by Refinitiv</v>
    <v>4195</v>
    <v>2965.3</v>
    <v>1.0761000000000001</v>
    <v>-9.4</v>
    <v>-2.4320000000000001E-3</v>
    <v>INR</v>
    <v>Larsen and Toubro Limited is an India-based multinational company, which is engaged in engineering, procurement, and construction (EPC) projects, hi-tech manufacturing and services. The Company's segments include Infrastructure Projects, Energy Projects, Hi-Tech Manufacturing, IT &amp; Technology Services, Financial Services, Development Projects and Others. Energy Projects segment comprises EPC/turnkey solutions in hydrocarbon business, power business and EPC solutions in green energy space. Hi-Tech Manufacturing segment comprises design, manufacture/construct, supply and revamp/retrofit of custom designed, engineered critical equipment &amp; systems to the process plants, nuclear energy &amp; green hydrogen sectors, marine and land platforms, and electrolysers. IT &amp; Technology Services segment comprises information technology and integrated engineering services (including smart world and communication projects), e-commerce/digital platforms &amp; data centers, and semiconductor chip design.</v>
    <v>58244</v>
    <v>National Stock Exchange of India</v>
    <v>XNSE</v>
    <v>XNSE</v>
    <v>L&amp;T House, Ballard Estate, P. O. Box: 278, MUMBAI, MAHARASHTRA, 400001 IN</v>
    <v>3914</v>
    <v>Construction &amp; Engineering</v>
    <v>Stock</v>
    <v>46038.492893518516</v>
    <v>130</v>
    <v>3848.7</v>
    <v>5347433000000</v>
    <v>LARSEN AND TOUBRO LIMITED</v>
    <v>LARSEN AND TOUBRO LIMITED</v>
    <v>3890</v>
    <v>32.42</v>
    <v>3865.8</v>
    <v>3856.4</v>
    <v>1375581000</v>
    <v>LT</v>
    <v>LARSEN AND TOUBRO LIMITED (XNSE:LT)</v>
    <v>1807300</v>
    <v>1825700</v>
    <v>1946</v>
  </rv>
  <rv s="2">
    <v>131</v>
  </rv>
  <rv s="0">
    <v>https://www.bing.com/financeapi/forcetrigger?t=ahjo52&amp;q=XNSE%3aRELIANCE&amp;form=skydnc</v>
    <v>Learn more on Bing</v>
  </rv>
  <rv s="1">
    <v>0</v>
    <v>RELIANCE INDUSTRIES LIMITED (XNSE:RELIANCE)</v>
    <v>2</v>
    <v>3</v>
    <v>Finance</v>
    <v>4</v>
    <v>en-US</v>
    <v>ahjo52</v>
    <v>268435456</v>
    <v>1</v>
    <v>Powered by Refinitiv</v>
    <v>1611.8</v>
    <v>1114.8499999999999</v>
    <v>1.2031000000000001</v>
    <v>-0.9</v>
    <v>-6.1689999999999998E-4</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National Stock Exchange of India</v>
    <v>XNSE</v>
    <v>XNSE</v>
    <v>Maker Chambers IV, Nariman Point, MUMBAI, MAHARASHTRA, 400021 IN</v>
    <v>1480</v>
    <v>Oil &amp; Gas</v>
    <v>Stock</v>
    <v>46038.492905092593</v>
    <v>133</v>
    <v>1455.1</v>
    <v>19659980000000</v>
    <v>RELIANCE INDUSTRIES LIMITED</v>
    <v>RELIANCE INDUSTRIES LIMITED</v>
    <v>1458.8</v>
    <v>23.76</v>
    <v>1458.8</v>
    <v>1457.9</v>
    <v>13532740000</v>
    <v>RELIANCE</v>
    <v>RELIANCE INDUSTRIES LIMITED (XNSE:RELIANCE)</v>
    <v>17167161</v>
    <v>11589110</v>
    <v>1973</v>
  </rv>
  <rv s="2">
    <v>134</v>
  </rv>
  <rv s="0">
    <v>https://www.bing.com/financeapi/forcetrigger?t=ahgrc7&amp;q=XNSE%3aADANITRANS&amp;form=skydnc</v>
    <v>Learn more on Bing</v>
  </rv>
  <rv s="1">
    <v>0</v>
    <v>ADANI ENERGY SOLUTIONS LIMITED (XNSE:ADANIENSOL)</v>
    <v>2</v>
    <v>3</v>
    <v>Finance</v>
    <v>4</v>
    <v>en-US</v>
    <v>ahgrc7</v>
    <v>268435456</v>
    <v>1</v>
    <v>Powered by Refinitiv</v>
    <v>1067.7</v>
    <v>639.45000000000005</v>
    <v>2.9024999999999999</v>
    <v>-13.9</v>
    <v>-1.5066E-2</v>
    <v>INR</v>
    <v>Adani Energy Solutions Limited is an India-based holding company. The Company is a private utility providing end-to-end energy solutions. Its segments include Transmission, GTD Business, Smart Metering, and Trading. The Transmission segment is engaged in providing transmission lines for transmission of power. The GTD Business segment is engaged in the generation, transmission, and distribution (GTD) of power business for Mumbai city (Mumbai GTD Business) and Mundra distribution. The Smart Metering segment focuses on supply, installing and maintaining of a Smart Metering Project on a Design-Build-Finance-Own-Operate-Transfer (DBFOOT) basis. The Trading segment is involved in trading activity of goods. It owns and operates various high voltage AC transmission lines and substations. It also offers cooling solutions and others. The Company has approximately 21,783 circuit kilometers (ckm) of transmission lines and 61,686 mega volt amp (MVA) of transformation capacity.</v>
    <v>4191</v>
    <v>National Stock Exchange of India</v>
    <v>XNSE</v>
    <v>XNSE</v>
    <v>Adani Corporate House, Shantigram, Near Vaishno Devi Circle, S G Highway, S. G. Highway, Khodiyar, AHMEDABAD, GUJARAT, 382421 IN</v>
    <v>929.6</v>
    <v>Electrical Utilities &amp; IPPs</v>
    <v>Stock</v>
    <v>46038.49287037037</v>
    <v>136</v>
    <v>902.7</v>
    <v>1120196000000</v>
    <v>ADANI ENERGY SOLUTIONS LIMITED</v>
    <v>ADANI ENERGY SOLUTIONS LIMITED</v>
    <v>922.5</v>
    <v>44.54</v>
    <v>922.6</v>
    <v>908.7</v>
    <v>1201283000</v>
    <v>ADANIENSOL</v>
    <v>ADANI ENERGY SOLUTIONS LIMITED (XNSE:ADANIENSOL)</v>
    <v>1741275</v>
    <v>1330140</v>
    <v>2013</v>
  </rv>
  <rv s="2">
    <v>137</v>
  </rv>
  <rv s="0">
    <v>http://en.wikipedia.org/wiki/Canara_Bank</v>
    <v>Wikipedia</v>
  </rv>
  <rv s="3">
    <v>6</v>
    <v>139</v>
  </rv>
  <rv s="4">
    <v>9</v>
    <v>https://www.bing.com/th?id=AMMS_c85087fd4a4a5af8fc014bd99fcebd02&amp;qlt=95</v>
    <v>140</v>
    <v>0</v>
    <v>https://www.bing.com/images/search?form=xlimg&amp;q=canara+bank</v>
    <v>Image of THE CANARA BANK LIMITED</v>
  </rv>
  <rv s="0">
    <v>https://www.bing.com/financeapi/forcetrigger?t=ahhb77&amp;q=XNSE%3aCANBK&amp;form=skydnc</v>
    <v>Learn more on Bing</v>
  </rv>
  <rv s="5">
    <v>5</v>
    <v>THE CANARA BANK LIMITED (XNSE:CANBK)</v>
    <v>7</v>
    <v>8</v>
    <v>Finance</v>
    <v>4</v>
    <v>en-US</v>
    <v>ahhb77</v>
    <v>268435456</v>
    <v>1</v>
    <v>Powered by Refinitiv</v>
    <v>158</v>
    <v>78.599999999999994</v>
    <v>1.6543000000000001</v>
    <v>3.24</v>
    <v>2.1054E-2</v>
    <v>INR</v>
    <v>The Canara Bank Limited (the Bank) is an India-based bank. The Bank’s segments include Treasury Operations, Retail Banking Operations, Wholesale Banking Operations, Life Insurance Operations and Other Banking Operations. Its Retail Banking Operations include Digital Banking and Other Retail Banking. Its products and services include personal banking and corporate banking. Its personal banking includes depository services, mutual funds, technology products, retail loan products, micro, small and medium enterprise loan products and card services. Its corporate banking includes accounts and deposits, supply chain finance management, syndication services and technology upgradation fund schemes, among others. It also offers the depository services. It offers unbanked rural people with basic savings deposit accounts, PMJDY Overdraft Facilities and credit facilities under products, such as differential rate of interest scheme, Kisan Credit Card Scheme and various other credit products.</v>
    <v>81260</v>
    <v>National Stock Exchange of India</v>
    <v>XNSE</v>
    <v>XNSE</v>
    <v>Head Office No.112, J C Road, BANGALORE, KARNATAKA, 560002 IN</v>
    <v>157.72</v>
    <v>141</v>
    <v>Banking Services</v>
    <v>Stock</v>
    <v>46038.492881944447</v>
    <v>142</v>
    <v>153.85</v>
    <v>1368399000000</v>
    <v>THE CANARA BANK LIMITED</v>
    <v>THE CANARA BANK LIMITED</v>
    <v>154</v>
    <v>7.28</v>
    <v>153.88999999999999</v>
    <v>157.13</v>
    <v>9070651000</v>
    <v>CANBK</v>
    <v>THE CANARA BANK LIMITED (XNSE:CANBK)</v>
    <v>35174000</v>
    <v>20299030</v>
    <v>1906</v>
  </rv>
  <rv s="2">
    <v>143</v>
  </rv>
  <rv s="0">
    <v>https://www.bing.com/financeapi/forcetrigger?t=ahkeim&amp;q=XNSE%3aTORNTPHARM&amp;form=skydnc</v>
    <v>Learn more on Bing</v>
  </rv>
  <rv s="1">
    <v>0</v>
    <v>TORRENT PHARMACEUTICALS LTD (XNSE:TORNTPHARM)</v>
    <v>2</v>
    <v>3</v>
    <v>Finance</v>
    <v>4</v>
    <v>en-US</v>
    <v>ahkeim</v>
    <v>268435456</v>
    <v>1</v>
    <v>Powered by Refinitiv</v>
    <v>4104.8</v>
    <v>2886.45</v>
    <v>0.62290000000000001</v>
    <v>14.5</v>
    <v>3.6220000000000002E-3</v>
    <v>INR</v>
    <v>Torrent Pharmaceuticals Limited is an India-based pharmaceutical company. The Company is engaged in research, development, manufacturing, marketing and distribution of branded and generic pharmaceutical formulations in India and internationally. The Company is focused on various therapeutic segments, such as cardiovascular (CV), central nervous system (CNS), gastrointestinal (GI), vitamins minerals nutrients (VMN), anti-diabetes (AD), pain management, gynecology, and dermatology. Its pediatric product brands include Tedibar, Atogla, Spoo and B4 Nappi. Its Anti-diabetic products include Gliclazide 80 mg, Tablets, Gliclazide 30 mg, Tablets, Glimepiride 1, 2, 3, 4 mg, Tablets, and others. Its dermatologic therapy products include Macrotor, Ahaglow S Facewash, Fungicide Lotion, Hairjoy 2%, New Dewsoft Cream, Lookbrite 20GMS, Cortaz NC, Dermanex, and others. Its manufacturing facilities are located in the states of Gujarat, Himachal Pradesh, Madhya Pradesh, Andhra Pradesh and Sikkim.</v>
    <v>16107</v>
    <v>National Stock Exchange of India</v>
    <v>XNSE</v>
    <v>XNSE</v>
    <v>Torrent House, Off. Ashram Road, AHMEDABAD, GUJARAT, 380009 IN</v>
    <v>4032</v>
    <v>Pharmaceuticals</v>
    <v>Stock</v>
    <v>46038.492905092593</v>
    <v>145</v>
    <v>3972</v>
    <v>1333577000000</v>
    <v>TORRENT PHARMACEUTICALS LTD</v>
    <v>TORRENT PHARMACEUTICALS LTD</v>
    <v>4020</v>
    <v>63.32</v>
    <v>4003.7</v>
    <v>4018.2</v>
    <v>338445400</v>
    <v>TORNTPHARM</v>
    <v>TORRENT PHARMACEUTICALS LTD (XNSE:TORNTPHARM)</v>
    <v>171667</v>
    <v>235810</v>
    <v>1972</v>
  </rv>
  <rv s="2">
    <v>146</v>
  </rv>
  <rv s="0">
    <v>https://www.bing.com/financeapi/forcetrigger?t=ahjg7w&amp;q=XNSE%3aPNB&amp;form=skydnc</v>
    <v>Learn more on Bing</v>
  </rv>
  <rv s="1">
    <v>0</v>
    <v>Punjab National Bank (XNSE:PNB)</v>
    <v>2</v>
    <v>3</v>
    <v>Finance</v>
    <v>4</v>
    <v>en-US</v>
    <v>ahjg7w</v>
    <v>268435456</v>
    <v>1</v>
    <v>Powered by Refinitiv</v>
    <v>132.79</v>
    <v>85.46</v>
    <v>1.4915</v>
    <v>3.68</v>
    <v>2.8597999999999998E-2</v>
    <v>INR</v>
    <v>Punjab National Bank is an India-based bank. The Company's segments include Treasury, Corporate/Wholesale Banking, Retail Banking and Other Banking Operations. Its product categories include personal, corporate, international and capital services. Its personal products include deposit, loans, approved housing projects, accounts, insurance, government business, financial inclusion and priority sector. Its corporate products include corporate loans, forex services offered to exporter and importer, cash management services, and gold card scheme for exporters. The Company's international products include foreign exchange (FX) retail platform, Libor transition, schemes/products/services, non-resident Indian (NRI) services, help desk for forex services and world travel card. Its capital services include depository services, mutual funds, merchant banking and application supported by blocked amount. Its e-services include retail Internet banking, e-statement, SMS banking and point of sale.</v>
    <v>102746</v>
    <v>National Stock Exchange of India</v>
    <v>XNSE</v>
    <v>XNSE</v>
    <v>Plot No 4, Sector -10, Dwarka, NEW DELHI, DELHI, 110075 IN</v>
    <v>132.79</v>
    <v>Banking Services</v>
    <v>Stock</v>
    <v>46038.492905092593</v>
    <v>148</v>
    <v>128.65</v>
    <v>1431101000000</v>
    <v>Punjab National Bank</v>
    <v>Punjab National Bank</v>
    <v>128.68</v>
    <v>8.68</v>
    <v>128.68</v>
    <v>132.36000000000001</v>
    <v>11492940000</v>
    <v>PNB</v>
    <v>Punjab National Bank (XNSE:PNB)</v>
    <v>34696416</v>
    <v>14947880</v>
    <v>1894</v>
  </rv>
  <rv s="2">
    <v>149</v>
  </rv>
  <rv s="0">
    <v>https://www.bing.com/financeapi/forcetrigger?t=ahhdvh&amp;q=XNSE%3aCHOLAFIN&amp;form=skydnc</v>
    <v>Learn more on Bing</v>
  </rv>
  <rv s="1">
    <v>0</v>
    <v>CHOLAMANDALAM INVESTMENT AND FINANCE COMPANY LIMITED (XNSE:CHOLAFIN)</v>
    <v>2</v>
    <v>3</v>
    <v>Finance</v>
    <v>4</v>
    <v>en-US</v>
    <v>ahhdvh</v>
    <v>268435456</v>
    <v>1</v>
    <v>Powered by Refinitiv</v>
    <v>1831.5</v>
    <v>1169.8</v>
    <v>1.2907</v>
    <v>9.6999999999999993</v>
    <v>5.7410000000000004E-3</v>
    <v>INR</v>
    <v>Cholamandalam Investment and Finance Company Limited is an India-based non-banking financial company (investment and credit company). It is engaged in the business of financing. Its segments include Vehicle Finance, Loan against property, Home Loans and Others Loans. The Vehicle Finance Loans segment provides loans to customers against purchase of new/used vehicles, tractors, construction equipment and loans to automobile dealers. Loan against property segment provides loans to customers against immovable property. The Home Loans segment includes loans given for acquisition/construction of residential property and loan against residential property. Other Loans segment consists of consumer and small enterprise loans, secured business and personal loans and SME loans. It offers gold loan, commercial vehicle loan, car loan, used car loan, construction equipment loan, two wheeler loan, new car loan, tractor loan three-wheeler loan, secured business loan, instant personal loan and others.</v>
    <v>46678</v>
    <v>National Stock Exchange of India</v>
    <v>XNSE</v>
    <v>XNSE</v>
    <v>Dare House, 2, NSC Bose Road, Parrys, CHENNAI, TAMIL NADU, 600001 IN</v>
    <v>1707.9</v>
    <v>Banking Services</v>
    <v>Stock</v>
    <v>46038.492881944447</v>
    <v>151</v>
    <v>1676.9</v>
    <v>1435758000000</v>
    <v>CHOLAMANDALAM INVESTMENT AND FINANCE COMPANY LIMITED</v>
    <v>CHOLAMANDALAM INVESTMENT AND FINANCE COMPANY LIMITED</v>
    <v>1689.5</v>
    <v>30.59</v>
    <v>1689.5</v>
    <v>1699.2</v>
    <v>844017200</v>
    <v>CHOLAFIN</v>
    <v>CHOLAMANDALAM INVESTMENT AND FINANCE COMPANY LIMITED (XNSE:CHOLAFIN)</v>
    <v>2796464</v>
    <v>1469120</v>
    <v>1978</v>
  </rv>
  <rv s="2">
    <v>152</v>
  </rv>
  <rv s="0">
    <v>https://www.bing.com/financeapi/forcetrigger?t=ahidf2&amp;q=XNSE%3aIOC&amp;form=skydnc</v>
    <v>Learn more on Bing</v>
  </rv>
  <rv s="1">
    <v>0</v>
    <v>INDIAN OIL CORPORATION LIMITED (XNSE:IOC)</v>
    <v>2</v>
    <v>3</v>
    <v>Finance</v>
    <v>4</v>
    <v>en-US</v>
    <v>ahidf2</v>
    <v>268435456</v>
    <v>1</v>
    <v>Powered by Refinitiv</v>
    <v>174.5</v>
    <v>110.72</v>
    <v>1.3865000000000001</v>
    <v>2.16</v>
    <v>1.3571E-2</v>
    <v>INR</v>
    <v>Indian Oil Corporation Limited is an India-based oil company. The Company's segments include Petroleum Products, Petrochemicals, Gas, and Other Business Activities. Its Other Business Activities segment includes oil and gas exploration activities, explosives and cryogenic business, and wind mill and solar power generation. Its business interests span the entire hydrocarbon value-chain, ranging from refining (downstream), pipeline transportation and marketing to exploration and production of petrochemicals, natural gas and alternative energy. Its downstream business includes city gas distribution (CGD), natural gas supply to bulk consumers, and distribution and marketing of LPG and Industrial Fuels. Its green energy portfolio focuses on CBG and sustainable aviation fuel (SAF). It owns and operates approximately 10 refineries across India. Its subsidiaries include Chennai Petroleum Corporation Limited, IndianOil (Mauritius) Limited, IOC Sweden AB, and IndOil Global B.V., among others.</v>
    <v>29941</v>
    <v>National Stock Exchange of India</v>
    <v>XNSE</v>
    <v>XNSE</v>
    <v>3079/3, Sadiq Nagar, J B Tito Marg, NEW DELHI, DELHI, 110049 IN</v>
    <v>162.15</v>
    <v>Oil &amp; Gas</v>
    <v>Stock</v>
    <v>46038.492893518516</v>
    <v>154</v>
    <v>159.85</v>
    <v>2222683000000</v>
    <v>INDIAN OIL CORPORATION LIMITED</v>
    <v>INDIAN OIL CORPORATION LIMITED</v>
    <v>160</v>
    <v>8.82</v>
    <v>159.16</v>
    <v>161.32</v>
    <v>14121240000</v>
    <v>IOC</v>
    <v>INDIAN OIL CORPORATION LIMITED (XNSE:IOC)</v>
    <v>15011308</v>
    <v>9965700</v>
    <v>1959</v>
  </rv>
  <rv s="2">
    <v>155</v>
  </rv>
  <rv s="0">
    <v>https://www.bing.com/financeapi/forcetrigger?t=ahj852&amp;q=XNSE%3aNMDC&amp;form=skydnc</v>
    <v>Learn more on Bing</v>
  </rv>
  <rv s="1">
    <v>0</v>
    <v>NMDC LIMITED (XNSE:NMDC)</v>
    <v>2</v>
    <v>3</v>
    <v>Finance</v>
    <v>4</v>
    <v>en-US</v>
    <v>ahj852</v>
    <v>268435456</v>
    <v>1</v>
    <v>Powered by Refinitiv</v>
    <v>86.72</v>
    <v>59.53</v>
    <v>0.84050000000000002</v>
    <v>-1.1100000000000001</v>
    <v>-1.3238000000000002E-2</v>
    <v>INR</v>
    <v>NMDC Limited is an India-based producer of iron ore. The Company owns and operates highly mechanized iron ore mines in the state of Chhattisgarh and Karnataka. It also operates the mechanized diamond mine in India at Panna, Madhya Pradesh. It offers a diverse range of iron ore products, each tailored to meet specific industrial requirements. It produces rough diamonds that cater to the gem and jewelry industry. The Company's segments include Iron Ore, and Pellet, Other Minerals &amp; Services. Its products include Baila ROM, Baila Lump, DR CLO, 10-20 mm Baila, Baila Fine, Doni Lump, Kumaraswamy Lump, Kumaraswamy Lump Ore, Doni Fines, Kumaraswamy Fine, Iron Ore Pellets, and Rough Diamonds. It holds around 26% stake in International Coal Ventures Pvt. Ltd (ICVL). ICVL owns coking coal deposit in Mozambique. The Company, through its subsidiary, Legacy Iron Ore Limited, carries out exploration in its 21 exploration tenements in Western Australia in iron ore, gold, tungsten and base metals.</v>
    <v>5677</v>
    <v>National Stock Exchange of India</v>
    <v>XNSE</v>
    <v>XNSE</v>
    <v>Khanij Bhavan, Masab Tank, HYDERABAD, TELANGANA, 500028 IN</v>
    <v>84.05</v>
    <v>Metals &amp; Mining</v>
    <v>Stock</v>
    <v>46038.492893518516</v>
    <v>157</v>
    <v>82.31</v>
    <v>721984100000</v>
    <v>NMDC LIMITED</v>
    <v>NMDC LIMITED</v>
    <v>83.85</v>
    <v>10.49</v>
    <v>83.85</v>
    <v>82.74</v>
    <v>8791817000</v>
    <v>NMDC</v>
    <v>NMDC LIMITED (XNSE:NMDC)</v>
    <v>20585800</v>
    <v>30851130</v>
    <v>1958</v>
  </rv>
  <rv s="2">
    <v>158</v>
  </rv>
  <rv s="0">
    <v>https://www.bing.com/financeapi/forcetrigger?t=ahju3m&amp;q=XNSE%3aSBILIFE&amp;form=skydnc</v>
    <v>Learn more on Bing</v>
  </rv>
  <rv s="1">
    <v>0</v>
    <v>SBI LIFE INSURANCE COMPANY LIMITED (XNSE:SBILIFE)</v>
    <v>2</v>
    <v>3</v>
    <v>Finance</v>
    <v>4</v>
    <v>en-US</v>
    <v>ahju3m</v>
    <v>268435456</v>
    <v>1</v>
    <v>Powered by Refinitiv</v>
    <v>2109.6</v>
    <v>1372.55</v>
    <v>1.0097</v>
    <v>12.2</v>
    <v>5.8970000000000003E-3</v>
    <v>INR</v>
    <v>SBI Life Insurance Company Limited is an India-based company, which offers life insurance. The Company operates through three segments: Participating, Non-Participating, and Linked segments. Its Participating segment includes Individual Life, Individual Pension, Group Pension, and Variable Insurance. Its Non-Participating segment includes Individual Life, Individual Pension, Group Savings, OYRGTA, Group Others, Annuity, Health, and Variable Insurance. Its Linked segment includes Individual, Group, and Pension. Its online plans include SBI Life-eShield Next, SBI Life-Retire Smart, SBI Life-eWealth Insurance, SBI Life-Smart Elite Plus, SBI Life-Smart Platina Plus and SBI Life-Smart Platina Supreme. Its savings plan includes SBI Life-Smart Platina Plus, and others. Its protection plans include SBI Life-eShield Next, SBI Life-eShield Insta, SBI Life-Saral Jeevan Bima, and others. Its retirement plans include SBI Life-Retire Smart Plus, SBI Life-Smart Annuity Income, and others.</v>
    <v>25672</v>
    <v>National Stock Exchange of India</v>
    <v>XNSE</v>
    <v>XNSE</v>
    <v>Natraj, M.V. Road &amp; Western Express Highway Junction, Andheri (East), MUMBAI, MAHARASHTRA, 400069 IN</v>
    <v>2097.1999999999998</v>
    <v>Insurance</v>
    <v>Stock</v>
    <v>46038.492905092593</v>
    <v>160</v>
    <v>2061.9</v>
    <v>2088293000000</v>
    <v>SBI LIFE INSURANCE COMPANY LIMITED</v>
    <v>SBI LIFE INSURANCE COMPANY LIMITED</v>
    <v>2062</v>
    <v>84.52</v>
    <v>2068.8000000000002</v>
    <v>2081</v>
    <v>1002830000</v>
    <v>SBILIFE</v>
    <v>SBI LIFE INSURANCE COMPANY LIMITED (XNSE:SBILIFE)</v>
    <v>753887</v>
    <v>701230</v>
    <v>2000</v>
  </rv>
  <rv s="2">
    <v>161</v>
  </rv>
  <rv s="7">
    <v>12</v>
    <v>UPL LIMITED (XNSE:UPLPP1)</v>
    <v>13</v>
    <v>14</v>
    <v>Finance</v>
    <v>4</v>
    <v>en-US</v>
    <v>cfj72w</v>
    <v>268435456</v>
    <v>1</v>
    <v>Powered by Refinitiv</v>
    <v>1.2136</v>
    <v>-14.85</v>
    <v>-2.7985000000000003E-2</v>
    <v>INR</v>
    <v>UPL Limited is an India-based company that provides agricultural solutions and services. The Company operates through three segments: Crop Protection, Seeds Business, and Non Agro. Its Crop Protection segment includes the manufacture and marketing of conventional agrochemical products, and other agricultural related products. Its Seeds Business segment includes the production and marketing of seeds. Its Non Agro includes manufacture and marketing of industrial chemical and other non-agricultural related products. The Company’s specialty applications include crop protection solutions for niche and specialty crops; products for underserved or hard-to-control pests; alternative application methods like seed and soil applied technologies; and bio-based products. Its offering covers the entire agricultural value chain spanning, such as seeds, crop protection products, natural solutions, on-farm equipment and services, and post-harvest solutions.</v>
    <v>4247</v>
    <v>National Stock Exchange of India</v>
    <v>XNSE</v>
    <v>XNSE</v>
    <v>Uniphos House, C.D. Marg,, 11th Road, Madhu Park,, Khar (West),, MUMBAI, MAHARASHTRA, 400052 IN</v>
    <v>534.15</v>
    <v>Chemicals</v>
    <v>Stock</v>
    <v>45869.49287037037</v>
    <v>512.25</v>
    <v>591652400000</v>
    <v>UPL LIMITED</v>
    <v>UPL LIMITED</v>
    <v>525.04999999999995</v>
    <v>0</v>
    <v>530.65</v>
    <v>515.79999999999995</v>
    <v>844433600</v>
    <v>UPLPP1</v>
    <v>UPL LIMITED (XNSE:UPLPP1)</v>
    <v>2447251</v>
    <v>2636910</v>
    <v>1985</v>
  </rv>
  <rv s="2">
    <v>163</v>
  </rv>
  <rv s="0">
    <v>https://www.bing.com/financeapi/forcetrigger?t=ahicim&amp;q=XNSE%3aINFY&amp;form=skydnc</v>
    <v>Learn more on Bing</v>
  </rv>
  <rv s="1">
    <v>0</v>
    <v>INFOSYS LIMITED (XNSE:INFY)</v>
    <v>2</v>
    <v>3</v>
    <v>Finance</v>
    <v>4</v>
    <v>en-US</v>
    <v>ahicim</v>
    <v>268435456</v>
    <v>1</v>
    <v>Powered by Refinitiv</v>
    <v>1982.8</v>
    <v>1307</v>
    <v>0.80840000000000001</v>
    <v>90</v>
    <v>5.6257000000000001E-2</v>
    <v>INR</v>
    <v>Infosys Limited is an India-based company, which provides digital services and consulting. The Company enables clients in approximately 59 countries to navigate their digital transformation powered by cloud and artificial intelligence (AI). Its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and AI, Infosys Sustainability Services and Applied AI. Its core solutions include application management services, proprietary application development services, traditional enterprise application implementation and others.</v>
    <v>337034</v>
    <v>National Stock Exchange of India</v>
    <v>XNSE</v>
    <v>XNSE</v>
    <v>Electronics City Hosur Rd, BANGALORE, KARNATAKA, 560100 IN</v>
    <v>1694</v>
    <v>Software &amp; IT Services</v>
    <v>Stock</v>
    <v>46038.492893518516</v>
    <v>165</v>
    <v>1653.4</v>
    <v>6468877000000</v>
    <v>INFOSYS LIMITED</v>
    <v>INFOSYS LIMITED</v>
    <v>1663.7</v>
    <v>23.66</v>
    <v>1599.8</v>
    <v>1689.8</v>
    <v>4045686000</v>
    <v>INFY</v>
    <v>INFOSYS LIMITED (XNSE:INFY)</v>
    <v>19335957</v>
    <v>5445730</v>
    <v>1981</v>
  </rv>
  <rv s="2">
    <v>166</v>
  </rv>
  <rv s="0">
    <v>https://www.bing.com/financeapi/forcetrigger?t=ahkb6h&amp;q=XNSE%3aTECHM&amp;form=skydnc</v>
    <v>Learn more on Bing</v>
  </rv>
  <rv s="1">
    <v>0</v>
    <v>TECH MAHINDRA LIMITED (XNSE:TECHM)</v>
    <v>2</v>
    <v>3</v>
    <v>Finance</v>
    <v>4</v>
    <v>en-US</v>
    <v>ahkb6h</v>
    <v>268435456</v>
    <v>1</v>
    <v>Powered by Refinitiv</v>
    <v>1736.4</v>
    <v>1209.4000000000001</v>
    <v>1.0577000000000001</v>
    <v>82</v>
    <v>5.1621E-2</v>
    <v>INR</v>
    <v>Tech Mahindra Limited is a global consulting service and systems integrator. The Company specializes in digital transformation, consulting, and business re-engineering, with digital competencies encompassing next-generation technologies. It operates through two segments: Information Technology (IT) and Business Process Services (BPS). Its BPS offers conversational Artificial intelligence, analytics, and cloud-based solutions. Its geographical segments include the Americas, the Europe region, India, and the Rest of the world. Its capabilities include TechM Consulting, Application Services, Cloud &amp; Infrastructure Services, Engineering Services, Network Services, Data Analytics, Digital Enterprise Applications, Business Process Services, Next Gen Services, and Sustainability Services. It serves industries, including communications, energy and utilities, healthcare and life sciences, insurance, manufacturing, media and entertainment, oil and gas, private equity, and professional services.</v>
    <v>152714</v>
    <v>National Stock Exchange of India</v>
    <v>XNSE</v>
    <v>XNSE</v>
    <v>Sharda Centre, Off Karve Road, PUNE, MAHARASHTRA, 411004 IN</v>
    <v>1680.7</v>
    <v>Software &amp; IT Services</v>
    <v>Stock</v>
    <v>46038.492905092593</v>
    <v>168</v>
    <v>1600</v>
    <v>1582054000000</v>
    <v>TECH MAHINDRA LIMITED</v>
    <v>TECH MAHINDRA LIMITED</v>
    <v>1600</v>
    <v>31.38</v>
    <v>1588.5</v>
    <v>1670.5</v>
    <v>979721300</v>
    <v>TECHM</v>
    <v>TECH MAHINDRA LIMITED (XNSE:TECHM)</v>
    <v>3733401</v>
    <v>1185430</v>
    <v>1986</v>
  </rv>
  <rv s="2">
    <v>169</v>
  </rv>
  <rv s="0">
    <v>https://www.bing.com/financeapi/forcetrigger?t=ahk3nm&amp;q=XNSE%3aSRF&amp;form=skydnc</v>
    <v>Learn more on Bing</v>
  </rv>
  <rv s="1">
    <v>0</v>
    <v>SRF LIMITED (XNSE:SRF)</v>
    <v>2</v>
    <v>3</v>
    <v>Finance</v>
    <v>4</v>
    <v>en-US</v>
    <v>ahk3nm</v>
    <v>268435456</v>
    <v>1</v>
    <v>Powered by Refinitiv</v>
    <v>3325</v>
    <v>2484.5</v>
    <v>0.87170000000000003</v>
    <v>-4.5999999999999996</v>
    <v>-1.5170000000000001E-3</v>
    <v>INR</v>
    <v>SRF Limited is a chemical-based multi-business company engaged in the manufacturing of industrial and specialty intermediates. Its segments include Technical Textiles Business (TTB), Chemicals Business (CB), Performance Films and Foil Business (PFB) and Others. The TTB segment's business includes nylon tire cord fabric, belting fabric, polyester tire cord fabric and industrial yarns and its research and development. The CB segment's business includes refrigerant gases, industrial chemicals, specialty chemicals, fluorochemicals and allied products and its research and development. The PFB segment's business includes polyester films and polypropylene films. The others segment includes coated fabric, laminated fabric and other ancillary activities. The Company has eleven manufacturing plants in India and one each in Thailand, South Africa and Hungary. The Company exports to over 90 countries. It serves various industries, such as automotive, pharmaceuticals, manufacturing and chemicals.</v>
    <v>8425</v>
    <v>National Stock Exchange of India</v>
    <v>XNSE</v>
    <v>XNSE</v>
    <v>Block-C, Sector - 45, GURGAON, HARYANA, 122003 IN</v>
    <v>3072</v>
    <v>Chemicals</v>
    <v>Stock</v>
    <v>46038.492905092593</v>
    <v>171</v>
    <v>3010</v>
    <v>901012900000</v>
    <v>SRF LIMITED</v>
    <v>SRF LIMITED</v>
    <v>3039.8</v>
    <v>55.56</v>
    <v>3032</v>
    <v>3027.4</v>
    <v>296424800</v>
    <v>SRF</v>
    <v>SRF LIMITED (XNSE:SRF)</v>
    <v>255342</v>
    <v>245410</v>
    <v>1970</v>
  </rv>
  <rv s="2">
    <v>172</v>
  </rv>
  <rv s="0">
    <v>https://www.bing.com/financeapi/forcetrigger?t=ahj3bh&amp;q=XNSE%3aMUTHOOTFIN&amp;form=skydnc</v>
    <v>Learn more on Bing</v>
  </rv>
  <rv s="1">
    <v>0</v>
    <v>MUTHOOT FINANCE LIMITED (XNSE:MUTHOOTFIN)</v>
    <v>2</v>
    <v>3</v>
    <v>Finance</v>
    <v>4</v>
    <v>en-US</v>
    <v>ahj3bh</v>
    <v>268435456</v>
    <v>1</v>
    <v>Powered by Refinitiv</v>
    <v>3995</v>
    <v>1965</v>
    <v>0.97389999999999999</v>
    <v>-2</v>
    <v>-5.0790000000000004E-4</v>
    <v>INR</v>
    <v>Muthoot Finance Limited is an India-based Non-Banking Financial Company (NBFC), which is engaged in the business of financing. The Company provides business loans secured by gold jewelry or gold loans. It also provides collection services, loan against property, and money transfer services. Its gold loan schemes include Muthoot One Percent Loan, Muthoot Ultimate Loan, Muthoot Delight Loan, Muthoot Mudra Loan, Muthoot Advantage Loan, Muthoot High Value Plus Loan, Muthoot High Value Loan, Muthoot Big Business Loans, Best Value Loan, and High Value Retention. The Company’s services include gold loan, loan at home, housing finance, personal loan, small business loan, insurance, small and medium-sized enterprises (SME) loans, corporate business loan, vehicle loan, mutual funds, non-convertible debentures (NCD), custom offers, pan card, micro finance, digital and cashless, milligram rewards, and national pension system (NPS).</v>
    <v>29221</v>
    <v>National Stock Exchange of India</v>
    <v>XNSE</v>
    <v>XNSE</v>
    <v>2Nd Floor Muthoot Chambers Opp Saritha Theatre Complex, ERNAKULAM, KERALA, 682018 IN</v>
    <v>3969.8</v>
    <v>Banking Services</v>
    <v>Stock</v>
    <v>46038.492893518516</v>
    <v>174</v>
    <v>3905</v>
    <v>1576286000000</v>
    <v>MUTHOOT FINANCE LIMITED</v>
    <v>MUTHOOT FINANCE LIMITED</v>
    <v>3905</v>
    <v>21.56</v>
    <v>3938.1</v>
    <v>3936.1</v>
    <v>401468500</v>
    <v>MUTHOOTFIN</v>
    <v>MUTHOOT FINANCE LIMITED (XNSE:MUTHOOTFIN)</v>
    <v>254955</v>
    <v>469750</v>
    <v>1997</v>
  </rv>
  <rv s="2">
    <v>175</v>
  </rv>
  <rv s="0">
    <v>https://www.bing.com/financeapi/forcetrigger?t=ahgz6h&amp;q=XNSE%3aASIANPAINT&amp;form=skydnc</v>
    <v>Learn more on Bing</v>
  </rv>
  <rv s="1">
    <v>0</v>
    <v>ASIAN PAINTS LIMITED (XNSE:ASIANPAINT)</v>
    <v>2</v>
    <v>3</v>
    <v>Finance</v>
    <v>4</v>
    <v>en-US</v>
    <v>ahgz6h</v>
    <v>268435456</v>
    <v>1</v>
    <v>Powered by Refinitiv</v>
    <v>2985.7</v>
    <v>2124.75</v>
    <v>1.1194</v>
    <v>-57</v>
    <v>-2.0257000000000001E-2</v>
    <v>INR</v>
    <v>Asian Paints Limited is an India-based company, which is engaged in the business of manufacturing, selling and distribution of paints, coatings, products related to home decor, bath fittings and providing related services. The Company operates through the Paints and Home Decor segment. The Company manufactures paints, varnishes, enamels, and thinners. It also manufactures organic and inorganic chemical compounds; metal sanitary ware such as bath, sinks, washbasins and similar articles and cosmetics and toiletries. Its Home Decor business offers modular kitchens and wardrobes, bath fittings and sanitaryware, decorative lightnings, unplasticized polyvinyl chloride (uPVC) windows and doors, wall coverings, furniture, furnishing, and rugs. It offers a range of services, such as interior design service, safe painting service, wood solutions, waterproofing solutions, color consultancy online and contractor finder services.</v>
    <v>11111</v>
    <v>National Stock Exchange of India</v>
    <v>XNSE</v>
    <v>XNSE</v>
    <v>6A &amp; 6B, Shantinagar, Santacruz (East), MUMBAI, MAHARASHTRA, 400055 IN</v>
    <v>2826.5</v>
    <v>Chemicals</v>
    <v>Stock</v>
    <v>46038.492881944447</v>
    <v>177</v>
    <v>2750.5</v>
    <v>2766744000000</v>
    <v>ASIAN PAINTS LIMITED</v>
    <v>ASIAN PAINTS LIMITED</v>
    <v>2787.9</v>
    <v>69.239999999999995</v>
    <v>2813.9</v>
    <v>2756.9</v>
    <v>958578200</v>
    <v>ASIANPAINT</v>
    <v>ASIAN PAINTS LIMITED (XNSE:ASIANPAINT)</v>
    <v>1143463</v>
    <v>924770</v>
    <v>1945</v>
  </rv>
  <rv s="2">
    <v>178</v>
  </rv>
  <rv s="0">
    <v>https://creativecommons.org/licenses/by-sa/4.0</v>
    <v>CC BY-SA 4.0</v>
  </rv>
  <rv s="0">
    <v>http://ja.wikipedia.org/wiki/バジャージ・オート</v>
    <v>Wikipedia</v>
  </rv>
  <rv s="3">
    <v>180</v>
    <v>181</v>
  </rv>
  <rv s="4">
    <v>9</v>
    <v>https://www.bing.com/th?id=AMMS_bf8c7b0a287214e88ed81aee6f721048&amp;qlt=95</v>
    <v>182</v>
    <v>0</v>
    <v>https://www.bing.com/images/search?form=xlimg&amp;q=bajaj+auto</v>
    <v>Image of BAJAJ AUTO LIMITED.</v>
  </rv>
  <rv s="0">
    <v>https://www.bing.com/financeapi/forcetrigger?t=ahh31h&amp;q=XNSE%3aBAJAJ-AUTO&amp;form=skydnc</v>
    <v>Learn more on Bing</v>
  </rv>
  <rv s="5">
    <v>5</v>
    <v>BAJAJ AUTO LIMITED. (XNSE:BAJAJ-AUTO)</v>
    <v>7</v>
    <v>8</v>
    <v>Finance</v>
    <v>4</v>
    <v>en-US</v>
    <v>ahh31h</v>
    <v>268435456</v>
    <v>1</v>
    <v>Powered by Refinitiv</v>
    <v>9888</v>
    <v>7089.35</v>
    <v>0.89129999999999998</v>
    <v>-90.5</v>
    <v>-9.4470000000000005E-3</v>
    <v>INR</v>
    <v>Bajaj Auto Limited is an India-based company, which is engaged in the business of the development, manufacturing, and distribution of automobiles, such as motorcycles, commercial vehicles, electric vehicles, and parts. It is a manufacturer of two-wheelers, three-wheelers, and quadri-cycles. The Company sells its products in India as well as in various other global markets. Its segments include Automotive, Investments, and Financing. The Automotive segment includes all activities related to the development, design, manufacture, assembly, and sale of two-wheelers/three-wheelers as well as the sale of related parts and accessories. Its motorcycles include Boxer, CT, Platina, Discover, Pulsar, Avenger, KTM, Dominar, Husqvarna, and KTM. Its commercial vehicles include Passenger Carriers, Good Carriers, and Quadricycle. Its three-wheeler vehicles include GoGo, RE, Maxima Z, Maxima X Wide, and Maxima C. Its subsidiaries include Bajaj Auto Credit Ltd., Chetak Technology Ltd., and others.</v>
    <v>5598</v>
    <v>National Stock Exchange of India</v>
    <v>XNSE</v>
    <v>XNSE</v>
    <v>Akurdi,, PUNE, MAHARASHTRA, 411035 IN</v>
    <v>9616.5</v>
    <v>183</v>
    <v>Automobiles &amp; Auto Parts</v>
    <v>Stock</v>
    <v>46038.492881944447</v>
    <v>184</v>
    <v>9389.5</v>
    <v>2669985000000</v>
    <v>BAJAJ AUTO LIMITED.</v>
    <v>BAJAJ AUTO LIMITED.</v>
    <v>9540</v>
    <v>32.1</v>
    <v>9579.5</v>
    <v>9489</v>
    <v>279462600</v>
    <v>BAJAJ-AUTO</v>
    <v>BAJAJ AUTO LIMITED. (XNSE:BAJAJ-AUTO)</v>
    <v>528450</v>
    <v>386460</v>
    <v>2007</v>
  </rv>
  <rv s="2">
    <v>185</v>
  </rv>
  <rv s="0">
    <v>https://www.bing.com/financeapi/forcetrigger?t=ahkdxm&amp;q=XNSE%3aTITAN&amp;form=skydnc</v>
    <v>Learn more on Bing</v>
  </rv>
  <rv s="1">
    <v>0</v>
    <v>TITAN COMPANY LIMITED (XNSE:TITAN)</v>
    <v>2</v>
    <v>3</v>
    <v>Finance</v>
    <v>4</v>
    <v>en-US</v>
    <v>ahkdxm</v>
    <v>268435456</v>
    <v>1</v>
    <v>Powered by Refinitiv</v>
    <v>4312.1000000000004</v>
    <v>2925</v>
    <v>1.2015</v>
    <v>-24.6</v>
    <v>-5.8269999999999997E-3</v>
    <v>INR</v>
    <v>Titan Company Limited is an India-based lifestyle company. The Company is primarily involved in the manufacturing and sale of Watches, Jewelry, Eyewear and other accessories and products. The Company's segments include Watches and Wearables, Jewelry, Eyewear and Others. The Watches and Wearables segment includes brands, such as Titan, Titan Clock, Fastrack, Sonata, Zoop, Octane, Xylys, Helios, Titan Raga, Fastrack Smart, Nebula and SF. The Jewelry segment includes brands, such as Tanishq, Mia, Zoya and CaratLane. The Eyewear segment includes the Titan EyePlus and Fastrack Eyecare. The Others segment includes Aerospace &amp; Defence, Automation Solutions, Fragrances, Accessories and Indian dress wear. Its new business includes brands, such as Skinn and Taneira. The Company's subsidiaries include Titan Engineering &amp; Automation Limited, Titan Commodity Trading Limited, TCL North America Inc., TEAL USA Inc., and Titan Watch Company Limited Hongkong, among others.</v>
    <v>9191</v>
    <v>National Stock Exchange of India</v>
    <v>XNSE</v>
    <v>XNSE</v>
    <v>Integrity, #193, Veerasandra, Electronic City P.O.,, Off Hosur Main Road, BANGALORE, KARNATAKA, 560100 IN</v>
    <v>4236.3999999999996</v>
    <v>Textiles &amp; Apparel</v>
    <v>Stock</v>
    <v>46038.492905092593</v>
    <v>187</v>
    <v>4181.1000000000004</v>
    <v>3760362000000</v>
    <v>TITAN COMPANY LIMITED</v>
    <v>TITAN COMPANY LIMITED</v>
    <v>4221.5</v>
    <v>90.69</v>
    <v>4221.5</v>
    <v>4196.8999999999996</v>
    <v>887045300</v>
    <v>TITAN</v>
    <v>TITAN COMPANY LIMITED (XNSE:TITAN)</v>
    <v>686949</v>
    <v>1027360</v>
    <v>1984</v>
  </rv>
  <rv s="2">
    <v>188</v>
  </rv>
  <rv s="8">
    <v>15</v>
    <v>KAYNES TECHNOLOGY INDIA LIMITED (XNSE:KAYNES)</v>
    <v>13</v>
    <v>3</v>
    <v>Finance</v>
    <v>4</v>
    <v>en-US</v>
    <v>c84aw7</v>
    <v>268435456</v>
    <v>1</v>
    <v>Powered by Refinitiv</v>
    <v>7705</v>
    <v>3548.2</v>
    <v>1.2450000000000001</v>
    <v>-68.400000000000006</v>
    <v>-1.8584E-2</v>
    <v>INR</v>
    <v>Kaynes Technology India Limited is an end-to-end and Internet of Things (IoT) solutions-enabled integrated electronics manufacturer. It is engaged in providing conceptual design, process engineering, integrated manufacturing, and life cycle support for players in the automotive, industrial, aerospace and defense, outer-space, nuclear, medical, railways, IoT/information technology (IT) and other segments. It offers Original Equipment Manufacturer (OEM)-Turnkey Solutions-Box Build, OEM-Turnkey Solutions-Printed Circuit Board Assemblies (PCBAs), Original Design Manufacturer (ODM), and Product Design &amp; Engineering and IoT Solutions. It offers turnkey electronics manufacturing services for PCBAs, cable harnesses, magnetics, and plastics. Its ODM offers smart metering technology, smart street lighting, inverter technology, and gallium nitride-based charging technology. It is also involved in the business of supply, installation, operations, and maintenance of smart meters in India.</v>
    <v>4852</v>
    <v>National Stock Exchange of India</v>
    <v>XNSE</v>
    <v>XNSE</v>
    <v>23-25 Belagola Food Industrial Estate,, Metagalli PO, MYSORE, KARNATAKA, 570016 IN</v>
    <v>3735</v>
    <v>Electronic Equipment &amp; Parts</v>
    <v>Stock</v>
    <v>46038.492893518516</v>
    <v>3586.1</v>
    <v>247659500000</v>
    <v>KAYNES TECHNOLOGY INDIA LIMITED</v>
    <v>KAYNES TECHNOLOGY INDIA LIMITED</v>
    <v>3698.9</v>
    <v>62.62</v>
    <v>3680.6</v>
    <v>3612.2</v>
    <v>67034650</v>
    <v>KAYNES</v>
    <v>KAYNES TECHNOLOGY INDIA LIMITED (XNSE:KAYNES)</v>
    <v>1130490</v>
    <v>1862470</v>
    <v>2008</v>
  </rv>
  <rv s="2">
    <v>190</v>
  </rv>
  <rv s="0">
    <v>https://www.bing.com/financeapi/forcetrigger?t=ahi8zr&amp;q=XNSE%3aIDFCFIRSTB&amp;form=skydnc</v>
    <v>Learn more on Bing</v>
  </rv>
  <rv s="1">
    <v>0</v>
    <v>IDFC FIRST BANK LIMITED (XNSE:IDFCFIRSTB)</v>
    <v>2</v>
    <v>3</v>
    <v>Finance</v>
    <v>4</v>
    <v>en-US</v>
    <v>ahi8zr</v>
    <v>268435456</v>
    <v>1</v>
    <v>Powered by Refinitiv</v>
    <v>87</v>
    <v>52.46</v>
    <v>1.4056</v>
    <v>0.72</v>
    <v>8.6670000000000011E-3</v>
    <v>INR</v>
    <v>IDFC FIRST Bank Limited (the Bank) is a universal bank. The Bank offers end-to-end corporate banking, trade finance, such as issuance of LCs &amp; BGs, SBLC, packing credit, pre-shipment and post-shipment finance, including risk hedging solutions like forwards, swaps, options, and other forex solutions, SME banking, wealth management, cash management, nostro and vostro account operations, Escrow facilities, correspondent banking, fastag, toll-acquiring, dealer finance and purchase/sales invoice discounting. Its treasury segment primarily consists of the Bank’s investment portfolio, money market borrowing and lending, investment operations and the foreign exchange and derivatives portfolio of the Bank. Its corporate/wholesale banking segment provides loans, non-fund facilities, treasury products, and transaction services. Its retail banking segment lends to individual / business banking customers. Its other banking business segment includes the distribution of third-party products.</v>
    <v>42190</v>
    <v>National Stock Exchange of India</v>
    <v>XNSE</v>
    <v>XNSE</v>
    <v>The Square,C-61, G Block, Ground Floor To 8th Floor Bandra Kurla Complex, Bandra East, MUMBAI, MAHARASHTRA, 400051 IN</v>
    <v>84.15</v>
    <v>Banking Services</v>
    <v>Stock</v>
    <v>46038.492893518516</v>
    <v>192</v>
    <v>82.98</v>
    <v>713178400000</v>
    <v>IDFC FIRST BANK LIMITED</v>
    <v>IDFC FIRST BANK LIMITED</v>
    <v>83.06</v>
    <v>42.43</v>
    <v>83.07</v>
    <v>83.79</v>
    <v>8596653000</v>
    <v>IDFCFIRSTB</v>
    <v>IDFC FIRST BANK LIMITED (XNSE:IDFCFIRSTB)</v>
    <v>16347138</v>
    <v>27383320</v>
    <v>2014</v>
  </rv>
  <rv s="2">
    <v>193</v>
  </rv>
  <rv s="0">
    <v>https://www.bing.com/financeapi/forcetrigger?t=ahiasm&amp;q=XNSE%3aINDIGO&amp;form=skydnc</v>
    <v>Learn more on Bing</v>
  </rv>
  <rv s="1">
    <v>0</v>
    <v>INTERGLOBE AVIATION LIMITED (XNSE:INDIGO)</v>
    <v>2</v>
    <v>3</v>
    <v>Finance</v>
    <v>4</v>
    <v>en-US</v>
    <v>ahiasm</v>
    <v>268435456</v>
    <v>1</v>
    <v>Powered by Refinitiv</v>
    <v>6232.5</v>
    <v>3945</v>
    <v>1.3519000000000001</v>
    <v>7</v>
    <v>1.4790000000000001E-3</v>
    <v>INR</v>
    <v>InterGlobe Aviation Limited (IndiGo) is an India-based company, which is engaged in the airline business. The principal activities of IndiGo comprise air transportation, which includes passenger and cargo services, and providing related allied services, including inflight sales. IndiGo provides scheduled and charter air services, for both passengers and cargo. It has a fleet of approximately 437 aircraft and provides scheduled services to over 91 domestic and 40 international destinations. IndiGo's subsidiaries include Agile Airport Services Private Limited and InterGlobe Aviation Financial Services IFSC Private Limited. Agile Airport Services Private Limited is engaged in the business of providing ground handling and other allied services to IndiGo at various airports in India.</v>
    <v>41049</v>
    <v>National Stock Exchange of India</v>
    <v>XNSE</v>
    <v>XNSE</v>
    <v>Third floor, Emaar Capital Tower 2, Mehrauli - Gurgaon Road, GURGAON, HARYANA, 122002 IN</v>
    <v>4757.5</v>
    <v>Passenger Transportation Services</v>
    <v>Stock</v>
    <v>46038.492893518516</v>
    <v>195</v>
    <v>4700</v>
    <v>1839980000000</v>
    <v>INTERGLOBE AVIATION LIMITED</v>
    <v>INTERGLOBE AVIATION LIMITED</v>
    <v>4700</v>
    <v>35.78</v>
    <v>4733</v>
    <v>4740</v>
    <v>386591100</v>
    <v>INDIGO</v>
    <v>INTERGLOBE AVIATION LIMITED (XNSE:INDIGO)</v>
    <v>1079566</v>
    <v>950860</v>
    <v>2004</v>
  </rv>
  <rv s="2">
    <v>196</v>
  </rv>
  <rv s="0">
    <v>https://www.bing.com/financeapi/forcetrigger?t=ahkau2&amp;q=XNSE%3aTCS&amp;form=skydnc</v>
    <v>Learn more on Bing</v>
  </rv>
  <rv s="1">
    <v>0</v>
    <v>TATA CONSULTANCY SERVICES LIMITED (XNSE:TCS)</v>
    <v>2</v>
    <v>3</v>
    <v>Finance</v>
    <v>4</v>
    <v>en-US</v>
    <v>ahkau2</v>
    <v>268435456</v>
    <v>1</v>
    <v>Powered by Refinitiv</v>
    <v>4255.12</v>
    <v>2866.6</v>
    <v>0.98770000000000002</v>
    <v>60.2</v>
    <v>1.9132E-2</v>
    <v>INR</v>
    <v>Tata Consultancy Services Ltd is an India-based company engaged in providing information technology (IT) services, consulting, and business solutions. Its business segments include Banking, Financial Services and Insurance; Manufacturing; Consumer Business; Communication, Media and Technology; Life Sciences and Healthcare and others, such as Energy, Resources and Utilities, s-Governance, and Products. The Company's products include TCS ADD, TCS BaNCS, TCS BFSI Platforms, TCS CHROMA, TCS Customer Intelligence &amp; Insights, TCS ERP on Cloud, TCS Intelligent Urban Exchange, Quartz-The Smart Ledgers, Jile, TCS Optumera, TCS TwinX, TCS TAP and TCS OmniStore. Its services portfolio consists of Artificial Intelligence, Cloud, Cognitive Business Operations, Consulting, Cybersecurity, Data and Analytics, Enterprise Solutions, Internet of Things (IoT), and Digital Engineering, TCS Interactive, TCS and AWS Cloud, TCS Enterprise Cloud, TCS and Google Cloud, TCS and Microsoft Cloud and others.</v>
    <v>613069</v>
    <v>National Stock Exchange of India</v>
    <v>XNSE</v>
    <v>XNSE</v>
    <v>9th Floor Nirmal Building Nariman Point, MUMBAI, MAHARASHTRA, 400021 IN</v>
    <v>3221.9</v>
    <v>Software &amp; IT Services</v>
    <v>Stock</v>
    <v>46038.492905092593</v>
    <v>198</v>
    <v>3171</v>
    <v>11823910000000</v>
    <v>TATA CONSULTANCY SERVICES LIMITED</v>
    <v>TATA CONSULTANCY SERVICES LIMITED</v>
    <v>3219.4</v>
    <v>24.21</v>
    <v>3146.5</v>
    <v>3206.7</v>
    <v>3618087000</v>
    <v>TCS</v>
    <v>TATA CONSULTANCY SERVICES LIMITED (XNSE:TCS)</v>
    <v>4293470</v>
    <v>2719470</v>
    <v>1995</v>
  </rv>
  <rv s="2">
    <v>199</v>
  </rv>
  <rv s="0">
    <v>https://www.bing.com/financeapi/forcetrigger?t=buurar&amp;q=XNSE%3aRELIANCEP1&amp;form=skydnc</v>
    <v>Learn more on Bing</v>
  </rv>
  <rv s="9">
    <v>16</v>
    <v>RELIANCE INDUSTRIES LIMITED (XNSE:RELIANCEP1)</v>
    <v>2</v>
    <v>17</v>
    <v>Finance</v>
    <v>18</v>
    <v>en-US</v>
    <v>buurar</v>
    <v>268435456</v>
    <v>1</v>
    <v>Powered by Refinitiv</v>
    <v>1.2031000000000001</v>
    <v>INR</v>
    <v>Reliance Industries Limited is engaged in the activities of hydrocarbon exploration and production, petroleum refining and marketing, petrochemicals, advanced materials and composites, renewables, retail and digital services. The Company’s segments include Oil to Chemicals (O2C), Oil and Gas, Retail, and Digital Services. The O2C segment covers refining, petrochemicals, fuel retailing, aviation fuel, and bulk wholesale marketing, with a portfolio that includes transportation fuels, polymers, polyesters, and elastomers. The Oil and Gas segment focuses on the exploration, development, and production of crude oil and natural gas. The Retail segment involves consumer retail and related services. The Digital Services segment provides a range of digital services. It also operates an oncology-focused healthcare platform, which focuses on technology-driven cancer care. Its subsidiaries include 7-India Convenience Retail Limited, Amante India Limited, Cover Story Clothing Limited, and others.</v>
    <v>403303</v>
    <v>National Stock Exchange of India</v>
    <v>XNSE</v>
    <v>XNSE</v>
    <v>Maker Chambers IV, Nariman Point, MUMBAI, MAHARASHTRA, 400021 IN</v>
    <v>Oil &amp; Gas</v>
    <v>Stock</v>
    <v>44508</v>
    <v>201</v>
    <v>RELIANCE INDUSTRIES LIMITED</v>
    <v>RELIANCE INDUSTRIES LIMITED</v>
    <v>0</v>
    <v>1870.8</v>
    <v>13532740000</v>
    <v>RELIANCEP1</v>
    <v>RELIANCE INDUSTRIES LIMITED (XNSE:RELIANCEP1)</v>
    <v>11589110</v>
    <v>1973</v>
  </rv>
  <rv s="2">
    <v>202</v>
  </rv>
  <rv s="0">
    <v>https://www.bing.com/financeapi/forcetrigger?t=ahki77&amp;q=XNSE%3aUPL&amp;form=skydnc</v>
    <v>Learn more on Bing</v>
  </rv>
  <rv s="1">
    <v>0</v>
    <v>UPL LIMITED (XNSE:UPL)</v>
    <v>2</v>
    <v>3</v>
    <v>Finance</v>
    <v>4</v>
    <v>en-US</v>
    <v>ahki77</v>
    <v>268435456</v>
    <v>1</v>
    <v>Powered by Refinitiv</v>
    <v>812.2</v>
    <v>530.95000000000005</v>
    <v>1.2136</v>
    <v>9.75</v>
    <v>1.2494E-2</v>
    <v>INR</v>
    <v>UPL Limited is an India-based company that provides agricultural solutions and services. The Company operates through three segments: Crop Protection, Seeds Business, and Non Agro. Its Crop Protection segment includes the manufacture and marketing of conventional agrochemical products, and other agricultural related products. Its Seeds Business segment includes the production and marketing of seeds. Its Non Agro includes manufacture and marketing of industrial chemical and other non-agricultural related products. The Company’s specialty applications include crop protection solutions for niche and specialty crops; products for underserved or hard-to-control pests; alternative application methods like seed and soil applied technologies; and bio-based products. Its offering covers the entire agricultural value chain spanning, such as seeds, crop protection products, natural solutions, on-farm equipment and services, and post-harvest solutions.</v>
    <v>4247</v>
    <v>National Stock Exchange of India</v>
    <v>XNSE</v>
    <v>XNSE</v>
    <v>Uniphos House, C.D. Marg,, 11th Road, Madhu Park,, Khar (West),, MUMBAI, MAHARASHTRA, 400052 IN</v>
    <v>796.95</v>
    <v>Chemicals</v>
    <v>Stock</v>
    <v>46038.49291666667</v>
    <v>204</v>
    <v>779.05</v>
    <v>652839900000</v>
    <v>UPL LIMITED</v>
    <v>UPL LIMITED</v>
    <v>786.2</v>
    <v>30.49</v>
    <v>780.4</v>
    <v>790.15</v>
    <v>844433600</v>
    <v>UPL</v>
    <v>UPL LIMITED (XNSE:UPL)</v>
    <v>3461231</v>
    <v>2636910</v>
    <v>1985</v>
  </rv>
  <rv s="2">
    <v>205</v>
  </rv>
  <rv s="0">
    <v>https://www.bing.com/financeapi/forcetrigger?t=ahgwsm&amp;q=XNSE%3aAPOLLOHOSP&amp;form=skydnc</v>
    <v>Learn more on Bing</v>
  </rv>
  <rv s="1">
    <v>0</v>
    <v>APOLLO HOSPITALS ENTERPRISE LIMITED (XNSE:APOLLOHOSP)</v>
    <v>2</v>
    <v>3</v>
    <v>Finance</v>
    <v>4</v>
    <v>en-US</v>
    <v>ahgwsm</v>
    <v>268435456</v>
    <v>1</v>
    <v>Powered by Refinitiv</v>
    <v>8099.5</v>
    <v>6001</v>
    <v>0.86729999999999996</v>
    <v>-37</v>
    <v>-5.0880000000000005E-3</v>
    <v>INR</v>
    <v>Apollo Hospitals Enterprise Limited is an integrated healthcare company. It is engaged in the business of providing hospital services and selling pharma and wellness products through a network of pharmacies, including the operation of multidisciplinary private hospitals, clinics, diagnostic centers and pharmacies. It is engaged in hospitals and hospitals-based services. The Company's segments include Healthcare Services, Retail Health and Diagnostics, Digital Health and Pharmacy Distribution, and Others. Retail Health and Diagnostics segment includes clinics and diagnostics. Digital Health and Pharmacy Distribution segment is engaged in the business of procurement and distribution of pharmaceuticals, fast-moving consumer goods and private label products business from various services using the digital platform. The Company has approximately 10,000 plus beds across 73 hospitals, 5000 plus pharmacies and 378 plus clinics and diagnostic centers, as well as 200 telemedicine centers.</v>
    <v>42497</v>
    <v>National Stock Exchange of India</v>
    <v>XNSE</v>
    <v>XNSE</v>
    <v>"Ali Towers" Ill Floor, #55, Greams Road, CHENNAI, TAMIL NADU, 600006 IN</v>
    <v>7299</v>
    <v>Healthcare Providers &amp; Services</v>
    <v>Stock</v>
    <v>46038.492881944447</v>
    <v>207</v>
    <v>6950</v>
    <v>1051282000000</v>
    <v>APOLLO HOSPITALS ENTERPRISE LIMITED</v>
    <v>APOLLO HOSPITALS ENTERPRISE LIMITED</v>
    <v>6950</v>
    <v>62.54</v>
    <v>7272.5</v>
    <v>7235.5</v>
    <v>143784700</v>
    <v>APOLLOHOSP</v>
    <v>APOLLO HOSPITALS ENTERPRISE LIMITED (XNSE:APOLLOHOSP)</v>
    <v>501597</v>
    <v>401690</v>
    <v>1979</v>
  </rv>
  <rv s="2">
    <v>208</v>
  </rv>
  <rv s="0">
    <v>https://www.bing.com/financeapi/forcetrigger?t=ahhkhw&amp;q=XNSE%3aDIVISLAB&amp;form=skydnc</v>
    <v>Learn more on Bing</v>
  </rv>
  <rv s="1">
    <v>0</v>
    <v>DIVI'S LABORATORIES LIMITED (XNSE:DIVISLAB)</v>
    <v>2</v>
    <v>3</v>
    <v>Finance</v>
    <v>4</v>
    <v>en-US</v>
    <v>ahhkhw</v>
    <v>268435456</v>
    <v>1</v>
    <v>Powered by Refinitiv</v>
    <v>7071.5</v>
    <v>4955</v>
    <v>0.66039999999999999</v>
    <v>-119.5</v>
    <v>-1.8803E-2</v>
    <v>INR</v>
    <v>Divi's Laboratories Limited is an India-based company, which is engaged in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Vigabatrin, and others. The Company is also engaged in custom synthesis (contract manufacturing services) of APIs and Intermediates for global innovator companies with a portfolio of products across diverse therapeutic areas. The Company’s subsidiaries include Divis Laboratories (USA) Inc. and Divi’s Laboratories Europe AG.</v>
    <v>18300</v>
    <v>National Stock Exchange of India</v>
    <v>XNSE</v>
    <v>XNSE</v>
    <v>1-72/23(P)/Divis/303,, Divi Towers, Cyber Hills, Gachibowli,, HYDERABAD, TELANGANA, 500032 IN</v>
    <v>6384</v>
    <v>Pharmaceuticals</v>
    <v>Stock</v>
    <v>46038.492881944447</v>
    <v>210</v>
    <v>6227.5</v>
    <v>1708689000000</v>
    <v>DIVI'S LABORATORIES LIMITED</v>
    <v>DIVI'S LABORATORIES LIMITED</v>
    <v>6355.5</v>
    <v>67.849999999999994</v>
    <v>6355.5</v>
    <v>6236</v>
    <v>265468600</v>
    <v>DIVISLAB</v>
    <v>DIVI'S LABORATORIES LIMITED (XNSE:DIVISLAB)</v>
    <v>409423</v>
    <v>368360</v>
    <v>1990</v>
  </rv>
  <rv s="2">
    <v>211</v>
  </rv>
  <rv s="0">
    <v>https://www.bing.com/financeapi/forcetrigger?t=ahhn1h&amp;q=XNSE%3aEICHERMOT&amp;form=skydnc</v>
    <v>Learn more on Bing</v>
  </rv>
  <rv s="1">
    <v>0</v>
    <v>EICHER MOTORS LIMITED (XNSE:EICHERMOT)</v>
    <v>2</v>
    <v>3</v>
    <v>Finance</v>
    <v>4</v>
    <v>en-US</v>
    <v>ahhn1h</v>
    <v>268435456</v>
    <v>1</v>
    <v>Powered by Refinitiv</v>
    <v>7613.5</v>
    <v>4646</v>
    <v>0.62229999999999996</v>
    <v>-43</v>
    <v>-5.8440000000000002E-3</v>
    <v>INR</v>
    <v>Eicher Motors Limited is an India-based multinational automobile company. The Company is engaged in the manufacturing and selling of motorcycles, spare parts and related services. The Company primarily operates in the automotive segment. The automotive segment includes all activities related to development, design, manufacture, assembly and sale of two-wheelers as well as sale of related parts and accessories. Its flagship brand Royal Enfield, which is engaged in motorcycle business. Royal Enfield's motorcycle products include Interceptor 650, Continental GT 650, Classic, Bullet and Himalayan. Royal Enfield's portfolio also includes apparels and motorcycle accessories, including protective riding apparel, riding accessories, protective seats, bodywork, controls, wheels, luggage and engine. Its commercial vehicle business is led by VE Commercial Vehicles. Its joint venture with AB Volvo, VE Commercial Vehicles Limited (VECV), includes a range of Eicher branded trucks and buses.</v>
    <v>3390</v>
    <v>National Stock Exchange of India</v>
    <v>XNSE</v>
    <v>XNSE</v>
    <v>Royal Enfield Global Headquarters, #296, Rajiv Gandhi Salai,, Sholinganallur, CHENNAI, TAMIL NADU, 600119 IN</v>
    <v>7417</v>
    <v>Automobiles &amp; Auto Parts</v>
    <v>Stock</v>
    <v>46038.492881944447</v>
    <v>213</v>
    <v>7298.5</v>
    <v>2030912000000</v>
    <v>EICHER MOTORS LIMITED</v>
    <v>EICHER MOTORS LIMITED</v>
    <v>7330</v>
    <v>39.5</v>
    <v>7358</v>
    <v>7315</v>
    <v>274299200</v>
    <v>EICHERMOT</v>
    <v>EICHER MOTORS LIMITED (XNSE:EICHERMOT)</v>
    <v>441023</v>
    <v>352510</v>
    <v>1982</v>
  </rv>
  <rv s="2">
    <v>214</v>
  </rv>
  <rv s="0">
    <v>https://www.bing.com/financeapi/forcetrigger?t=ahi2vh&amp;q=XNSE%3aHAVELLS&amp;form=skydnc</v>
    <v>Learn more on Bing</v>
  </rv>
  <rv s="1">
    <v>0</v>
    <v>HAVELLS INDIA LIMITED (XNSE:HAVELLS)</v>
    <v>2</v>
    <v>3</v>
    <v>Finance</v>
    <v>4</v>
    <v>en-US</v>
    <v>ahi2vh</v>
    <v>268435456</v>
    <v>1</v>
    <v>Powered by Refinitiv</v>
    <v>1712.85</v>
    <v>1380</v>
    <v>0.8296</v>
    <v>-11</v>
    <v>-7.6539999999999993E-3</v>
    <v>INR</v>
    <v>Havells India Limited is an India-based fast moving electrical goods (FMEG) company. The Company is consumer electrical/electronic and power distribution equipment manufacturer with products ranging from industrial and domestic circuit protection switchgears, cables, motors, pumps, solar products, solar modules, fans, power capacitors, LED lamps and luminaries for domestic, commercial and industrial applications, modular switches, water heaters, coolers and domestic appliances, personal grooming, air purifier, water purifier, air conditioner, television, washing machine and refrigerator covering the entire range of household, commercial and industrial electrical needs. The Company has brand showroom in the electrical industry, namely Havells Exclusive Brand Stores. It owns various brands, Havells Studio, Lloyd, Havells Crabtree, Standard Electricals and REO. Its solar products include solar on grid solutions, solar off grid solutions, and solar on grid inverter solutions.</v>
    <v>8163</v>
    <v>National Stock Exchange of India</v>
    <v>XNSE</v>
    <v>XNSE</v>
    <v>QRG Towers, 2D, Sector - 126, Expressway, NOIDA, UTTAR PRADESH, 201304 IN</v>
    <v>1447.4</v>
    <v>Machinery, Equipment &amp; Components</v>
    <v>Stock</v>
    <v>46038.492893518516</v>
    <v>216</v>
    <v>1420</v>
    <v>898043600000</v>
    <v>HAVELLS INDIA LIMITED</v>
    <v>HAVELLS INDIA LIMITED</v>
    <v>1437</v>
    <v>61.53</v>
    <v>1437.1</v>
    <v>1426.1</v>
    <v>627256800</v>
    <v>HAVELLS</v>
    <v>HAVELLS INDIA LIMITED (XNSE:HAVELLS)</v>
    <v>406281</v>
    <v>816530</v>
    <v>1983</v>
  </rv>
  <rv s="2">
    <v>217</v>
  </rv>
  <rv s="0">
    <v>https://www.bing.com/financeapi/forcetrigger?t=ahgr3m&amp;q=XNSE%3aADANIENT&amp;form=skydnc</v>
    <v>Learn more on Bing</v>
  </rv>
  <rv s="1">
    <v>0</v>
    <v>ADANI ENTERPRISES LIMITED (XNSE:ADANIENT)</v>
    <v>2</v>
    <v>3</v>
    <v>Finance</v>
    <v>4</v>
    <v>en-US</v>
    <v>ahgr3m</v>
    <v>268435456</v>
    <v>1</v>
    <v>Powered by Refinitiv</v>
    <v>2612.7600000000002</v>
    <v>1964.71</v>
    <v>1.5831</v>
    <v>4</v>
    <v>1.8579999999999998E-3</v>
    <v>INR</v>
    <v>Adani Enterprises Limited is an India-based integrated infrastructure company that operates with various businesses spanning across integrated resource management, mining services and commercial mining, new energy ecosystem, data center, airports, roads, copper, digital, food Fast-Moving Consumer Goods (FMCG) and others. Its segments include integrated resources management, mining services, commercial mining, new energy ecosystem, airport, road, and others. The Integrated Resources Management provides end-to-end procurement and logistics services. The Mining segment includes mining service contracts for nine coal blocks with a capacity of approximately 100 plus millinewton (Mn) metric tons per annum. The Airport segment is engaged in the construction, operations, and maintenance of airports. The New Energy Ecosystem provides cell and module manufacturing. The Road segment is engaged in the construction, operations, and maintenance of road assets. It also operates in duty free business.</v>
    <v>11571</v>
    <v>National Stock Exchange of India</v>
    <v>XNSE</v>
    <v>XNSE</v>
    <v>Adani House, Shrimali Society, Nr. Mithakhali Circle, Navrangpura, AHMEDABAD, GUJARAT, 380009 IN</v>
    <v>2193.9</v>
    <v>Diversified Industrial Goods Wholesale</v>
    <v>Stock</v>
    <v>46038.49287037037</v>
    <v>219</v>
    <v>2152.1</v>
    <v>2677113000000</v>
    <v>ADANI ENTERPRISES LIMITED</v>
    <v>ADANI ENTERPRISES LIMITED</v>
    <v>2162.8000000000002</v>
    <v>30.36</v>
    <v>2153.3000000000002</v>
    <v>2157.3000000000002</v>
    <v>1292682000</v>
    <v>ADANIENT</v>
    <v>ADANI ENTERPRISES LIMITED (XNSE:ADANIENT)</v>
    <v>758469</v>
    <v>871570</v>
    <v>1993</v>
  </rv>
  <rv s="2">
    <v>220</v>
  </rv>
  <rv s="0">
    <v>https://www.bing.com/financeapi/forcetrigger?t=ahgr6h&amp;q=XNSE%3aADANIPORTS&amp;form=skydnc</v>
    <v>Learn more on Bing</v>
  </rv>
  <rv s="1">
    <v>0</v>
    <v>ADANI PORTS AND SPECIAL ECONOMIC ZONE LIMITED (XNSE:ADANIPORTS)</v>
    <v>2</v>
    <v>3</v>
    <v>Finance</v>
    <v>4</v>
    <v>en-US</v>
    <v>ahgr6h</v>
    <v>268435456</v>
    <v>1</v>
    <v>Powered by Refinitiv</v>
    <v>1549</v>
    <v>1010.75</v>
    <v>1.4771000000000001</v>
    <v>-8.1</v>
    <v>-5.6639999999999998E-3</v>
    <v>INR</v>
    <v>Adani Ports and Special Economic Zone Limited is an India-based integrated ports and logistics company. The Company's segments include port and special economic zone (SEZ) activities, and other. The port and SEZ activities segment, which includes developing, operating and maintaining the port services, port related infrastructure development activities and development of infrastructure in a contiguous special economic zone. The Other Segment mainly includes Aircraft Operating Income, Warehousing and transportation of food grains. Its presence across 13 domestic ports in seven maritime states of Gujarat, Maharashtra, Goa, Kerala, Andhra Pradesh, Tamil Nadu and Odisha. The ports are equipped to handle diverse cargos, from dry cargo, liquid cargo, and crude to containers. Its ports &amp; terminals include Gangavaram Port, Karaikal Port, Krishnapatnam Port, Mundra Port, Gopalpur Port, and others. It also owns NQXT, a natural deep-water, multi-user export terminal.</v>
    <v>3118</v>
    <v>National Stock Exchange of India</v>
    <v>XNSE</v>
    <v>XNSE</v>
    <v>Adani Corporate House, Shantigram, Near Vaishno Devi Circle, S. G. Highway, Khodiyar, AHMEDABAD, GUJARAT, 382421 IN</v>
    <v>1448</v>
    <v>Transport Infrastructure</v>
    <v>Stock</v>
    <v>46038.49287037037</v>
    <v>222</v>
    <v>1416.1</v>
    <v>3291436000000</v>
    <v>ADANI PORTS AND SPECIAL ECONOMIC ZONE LIMITED</v>
    <v>ADANI PORTS AND SPECIAL ECONOMIC ZONE LIMITED</v>
    <v>1430</v>
    <v>25.84</v>
    <v>1430</v>
    <v>1421.9</v>
    <v>2303959000</v>
    <v>ADANIPORTS</v>
    <v>ADANI PORTS AND SPECIAL ECONOMIC ZONE LIMITED (XNSE:ADANIPORTS)</v>
    <v>1556318</v>
    <v>1481520</v>
    <v>1998</v>
  </rv>
  <rv s="2">
    <v>223</v>
  </rv>
  <rv s="0">
    <v>https://www.bing.com/financeapi/forcetrigger?t=ahh3im&amp;q=XNSE%3aBAJFINANCE&amp;form=skydnc</v>
    <v>Learn more on Bing</v>
  </rv>
  <rv s="1">
    <v>0</v>
    <v>BAJAJ FINANCE LIMITED (XNSE:BAJFINANCE)</v>
    <v>2</v>
    <v>3</v>
    <v>Finance</v>
    <v>4</v>
    <v>en-US</v>
    <v>ahh3im</v>
    <v>268435456</v>
    <v>1</v>
    <v>Powered by Refinitiv</v>
    <v>1102.5</v>
    <v>709.55</v>
    <v>1.165</v>
    <v>4.3</v>
    <v>4.5459999999999997E-3</v>
    <v>INR</v>
    <v>Bajaj Finance Ltd. is an India-based non-banking financial company (NBFC). The Company is mainly engaged in the business of lending and accepting deposits. It has a diversified lending portfolio across retail, small and medium-sized enterprises (SMEs) and commercial customers with a presence in both urban and rural India. It also accepts public and corporate deposits and offers a variety of financial service products to its customers. Its products include Consumer Finance, Commercial Lending, SME Finance, Investment, Corporate Finance, and Financial Institutions Lending. Its Consumer Finance includes Digital Product Finance, Lifestyle Finance, Durable Finance, Personal Loan, Home Loan, Retailer Finance, and others. Its commercial lending includes Vendor Financing, Large Value Lease Rental Discounting, Loans against Securities, and others. Its investments include fixed deposit and mutual funds. Its subsidiaries include Bajaj Housing Finance Ltd. and Bajaj Financial Securities Ltd.</v>
    <v>64092</v>
    <v>National Stock Exchange of India</v>
    <v>XNSE</v>
    <v>XNSE</v>
    <v>6th Floor Bajaj Finserv Corporate Office, Off Pune-Ahmednagar Road, Viman Nagar, PUNE, MAHARASHTRA, 411014 IN</v>
    <v>963</v>
    <v>Banking Services</v>
    <v>Stock</v>
    <v>46038.492881944447</v>
    <v>225</v>
    <v>936.8</v>
    <v>5898163000000</v>
    <v>BAJAJ FINANCE LIMITED</v>
    <v>BAJAJ FINANCE LIMITED</v>
    <v>940.2</v>
    <v>41.12</v>
    <v>945.95</v>
    <v>950.25</v>
    <v>6215135000</v>
    <v>BAJFINANCE</v>
    <v>BAJAJ FINANCE LIMITED (XNSE:BAJFINANCE)</v>
    <v>10710080</v>
    <v>6818510</v>
    <v>1987</v>
  </rv>
  <rv s="2">
    <v>226</v>
  </rv>
  <rv s="0">
    <v>https://www.bing.com/financeapi/forcetrigger?t=ahh3a2&amp;q=XNSE%3aBAJAJFINSV&amp;form=skydnc</v>
    <v>Learn more on Bing</v>
  </rv>
  <rv s="1">
    <v>0</v>
    <v>BAJAJ FINSERV LIMITED (XNSE:BAJAJFINSV)</v>
    <v>2</v>
    <v>3</v>
    <v>Finance</v>
    <v>4</v>
    <v>en-US</v>
    <v>ahh3a2</v>
    <v>268435456</v>
    <v>1</v>
    <v>Powered by Refinitiv</v>
    <v>2195</v>
    <v>1617</v>
    <v>1.44</v>
    <v>1.6</v>
    <v>7.9960000000000003E-4</v>
    <v>INR</v>
    <v>Bajaj Finserv Limited is a holding company for various financial services businesses. It is engaged in the business of promoting financial services such as finance, insurance, broking, investments, and others, including distribution using digital platforms through its investments in subsidiaries and joint ventures. It is also engaged in the business of generating power through wind turbines, a renewable source of energy. Its segments include Life Insurance, General Insurance, Retail Financing, and Windmill, Platforms &amp; other Investments. It focuses on commercial lending; personal loans; small and medium enterprise lending; rural lending; loan against securities, and partnerships and services.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v>
    <v>126</v>
    <v>National Stock Exchange of India</v>
    <v>XNSE</v>
    <v>XNSE</v>
    <v>6th Floor, Bajaj Finserv Corporate Office, Off Pune-Ahmednagar Road, Viman Nagar, PUNE, MAHARASHTRA, 411014 IN</v>
    <v>2033</v>
    <v>Banking Services</v>
    <v>Stock</v>
    <v>46038.492881944447</v>
    <v>228</v>
    <v>2000.6</v>
    <v>3211215000000</v>
    <v>BAJAJ FINSERV LIMITED</v>
    <v>BAJAJ FINSERV LIMITED</v>
    <v>2012.8</v>
    <v>32.96</v>
    <v>2000.9</v>
    <v>2002.5</v>
    <v>1596666000</v>
    <v>BAJAJFINSV</v>
    <v>BAJAJ FINSERV LIMITED (XNSE:BAJAJFINSV)</v>
    <v>1177279</v>
    <v>888820</v>
    <v>2007</v>
  </rv>
  <rv s="2">
    <v>229</v>
  </rv>
  <rv s="0">
    <v>https://www.bing.com/financeapi/forcetrigger?t=ahh9sm&amp;q=XNSE%3aBRITANNIA&amp;form=skydnc</v>
    <v>Learn more on Bing</v>
  </rv>
  <rv s="1">
    <v>0</v>
    <v>BRITANNIA INDUSTRIES LTD (XNSE:BRITANNIA)</v>
    <v>2</v>
    <v>3</v>
    <v>Finance</v>
    <v>4</v>
    <v>en-US</v>
    <v>ahh9sm</v>
    <v>268435456</v>
    <v>1</v>
    <v>Powered by Refinitiv</v>
    <v>6336</v>
    <v>4506</v>
    <v>0.89949999999999997</v>
    <v>-8</v>
    <v>-1.354E-3</v>
    <v>INR</v>
    <v>Britannia Industries Limited is an India-based food products company. The Company is primarily involved in manufacturing and selling various food products. The Company's product categories include biscuits, dairy, snacking, cakes, rusk, breads and nutritious bars. The Company's dairy products include cheese, Winkin' Cow, Come Alive Paneer, Come Alive Dahi, ghee and Dairy Whitener. The Company's dairy products include cheese, Winkin' Cow, Come Alive Paneer, Come Alive Dahi, Ghee and Dairy Whitener. Its bread products include gourmet breads, white bread and wheat flour breads. Its gourmet breads include Fruit Bun, Fruit Bread, Choco bread and Choco Bun. Its white breads include Vitarich Bread, Sweet Bread, Vitarich Bread, Milk Bread and Sandwich Bread. Its cake products include Gobbles, Muffils, Nuts and Raisin Romance Cake, Roll Yo!, and Tiffin Fun. Its snacking products include Treat Croissant, Treat Creme Wafers and Time Pass Salted Snacks.</v>
    <v>5792</v>
    <v>National Stock Exchange of India</v>
    <v>XNSE</v>
    <v>XNSE</v>
    <v>Floor No 16 and 17, Tower C,, Prestige Shantiniketan, The Business Precinct,, Whitefield Main Road, Mahadevapura Post, BANGALORE, KARNATAKA, 660048 IN</v>
    <v>5944</v>
    <v>Food &amp; Tobacco</v>
    <v>Stock</v>
    <v>46038.492881944447</v>
    <v>231</v>
    <v>5862</v>
    <v>1425459000000</v>
    <v>BRITANNIA INDUSTRIES LTD</v>
    <v>BRITANNIA INDUSTRIES LTD</v>
    <v>5875</v>
    <v>61.41</v>
    <v>5906.5</v>
    <v>5898.5</v>
    <v>240868300</v>
    <v>BRITANNIA</v>
    <v>BRITANNIA INDUSTRIES LTD (XNSE:BRITANNIA)</v>
    <v>453904</v>
    <v>325590</v>
    <v>1918</v>
  </rv>
  <rv s="2">
    <v>232</v>
  </rv>
  <rv s="0">
    <v>https://www.bing.com/financeapi/forcetrigger?t=ahhlpr&amp;q=XNSE%3aDRREDDY&amp;form=skydnc</v>
    <v>Learn more on Bing</v>
  </rv>
  <rv s="1">
    <v>0</v>
    <v>DR.REDDY'S LABORATORIES LTD (XNSE:DRREDDY)</v>
    <v>2</v>
    <v>3</v>
    <v>Finance</v>
    <v>4</v>
    <v>en-US</v>
    <v>ahhlpr</v>
    <v>268435456</v>
    <v>1</v>
    <v>Powered by Refinitiv</v>
    <v>1379.7</v>
    <v>1020</v>
    <v>0.4088</v>
    <v>-11</v>
    <v>-9.2709999999999997E-3</v>
    <v>INR</v>
    <v>Dr. Reddy’s Laboratories Limited is an India-based pharmaceutical company. Its products and services are spread across its core businesses of active pharmaceutical ingredients (APIs), generics, branded generics, biosimilars and over-the-counter (OTC) pharmaceutical products. It works in the areas of gastrointestinal, cardiovascular, diabetology, oncology, pain management and dermatology. Its segments consist of Global Generics; Pharmaceutical Services and Active Ingredients (PSAI), and Others. The Global Generics segment consists of the Company's business of manufacturing and marketing prescription and over-the-counter finished pharmaceutical products ready for consumption by the patient, marketed under a brand name (branded formulations) or as generic finished dosages with therapeutic equivalence to branded formulations (generics). The Pharmaceutical Services and Active Ingredients segment consists of the Company's business of manufacturing and marketing APIs and intermediates.</v>
    <v>26944</v>
    <v>National Stock Exchange of India</v>
    <v>XNSE</v>
    <v>XNSE</v>
    <v>8-2-337, Road No.3 Banjara Hills, HYDERABAD, TELANGANA, 500-034 IN</v>
    <v>1197</v>
    <v>Pharmaceuticals</v>
    <v>Stock</v>
    <v>46038.492881944447</v>
    <v>234</v>
    <v>1171.5</v>
    <v>991795300000</v>
    <v>DR.REDDY'S LABORATORIES LTD</v>
    <v>DR.REDDY'S LABORATORIES LTD</v>
    <v>1184</v>
    <v>17.12</v>
    <v>1186.5</v>
    <v>1175.5</v>
    <v>832531900</v>
    <v>DRREDDY</v>
    <v>DR.REDDY'S LABORATORIES LTD (XNSE:DRREDDY)</v>
    <v>2214792</v>
    <v>1409110</v>
    <v>1984</v>
  </rv>
  <rv s="2">
    <v>235</v>
  </rv>
  <rv s="0">
    <v>https://www.bing.com/financeapi/forcetrigger?t=axd4c7&amp;q=XNSE%3aHDFCLIFE&amp;form=skydnc</v>
    <v>Learn more on Bing</v>
  </rv>
  <rv s="1">
    <v>0</v>
    <v>HDFC LIFE INSURANCE COMPANY LIMITED (XNSE:HDFCLIFE)</v>
    <v>2</v>
    <v>3</v>
    <v>Finance</v>
    <v>4</v>
    <v>en-US</v>
    <v>axd4c7</v>
    <v>268435456</v>
    <v>1</v>
    <v>Powered by Refinitiv</v>
    <v>820.75</v>
    <v>584.29999999999995</v>
    <v>0.91069999999999995</v>
    <v>-10.65</v>
    <v>-1.4330000000000001E-2</v>
    <v>INR</v>
    <v>HDFC Life Insurance Company Ltd is an India-based life insurance company. The Company provides a range of individual and group insurance solutions across India. The portfolio comprises of various insurance and investment products such as protection, pension, savings, investment, annuity, and health. The Company offers long term savings, protection and retirement or pension products. The Company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37526</v>
    <v>National Stock Exchange of India</v>
    <v>XNSE</v>
    <v>XNSE</v>
    <v>12th Floor, Lodha Excelus, Apollo Mills Compound, N.M. Joshi Road, Mahalaxmi, MUMBAI, MAHARASHTRA, 400011 IN</v>
    <v>742</v>
    <v>Insurance</v>
    <v>Stock</v>
    <v>46038.492893518516</v>
    <v>237</v>
    <v>718</v>
    <v>1614571000000</v>
    <v>HDFC LIFE INSURANCE COMPANY LIMITED</v>
    <v>HDFC LIFE INSURANCE COMPANY LIMITED</v>
    <v>740.1</v>
    <v>84.51</v>
    <v>743.2</v>
    <v>732.55</v>
    <v>2157076000</v>
    <v>HDFCLIFE</v>
    <v>HDFC LIFE INSURANCE COMPANY LIMITED (XNSE:HDFCLIFE)</v>
    <v>9855757</v>
    <v>1963950</v>
    <v>2000</v>
  </rv>
  <rv s="2">
    <v>238</v>
  </rv>
  <rv s="0">
    <v>https://www.bing.com/financeapi/forcetrigger?t=ahi4cw&amp;q=XNSE%3aHEROMOTOCO&amp;form=skydnc</v>
    <v>Learn more on Bing</v>
  </rv>
  <rv s="1">
    <v>0</v>
    <v>Hero MotoCorp Limited (XNSE:HEROMOTOCO)</v>
    <v>2</v>
    <v>3</v>
    <v>Finance</v>
    <v>4</v>
    <v>en-US</v>
    <v>ahi4cw</v>
    <v>268435456</v>
    <v>1</v>
    <v>Powered by Refinitiv</v>
    <v>6388.5</v>
    <v>3344</v>
    <v>0.86939999999999995</v>
    <v>-25</v>
    <v>-4.4039999999999999E-3</v>
    <v>INR</v>
    <v>Hero MotoCorp Limited is an India-based two-wheeler manufacturing company. The Company is engaged in the manufacturing and selling of motorized two-wheelers, spare parts and related services. Its product category includes motorcycles, scooters, and parts. Its motorcycle products are XTREME 250R, XPULSE 210, GLAMOUR X, KARIZMA XMR, HF 100, XTREME 125R, SPLENDOR+, GLAMOUR XTEC, XTREME 160R 4V, MAVRICK 440, and others. Its scooter products include XOOM 160, Pleasure+ XTEC, XOOM, Destini PRIME, and NEW DESCTINI 125. Its accessories include Hero H1 Bluetooth helmet device, Smart Intercom Helmet Device, Tourer Magnetic Tank Bag, and Adventure Magnetic Tank Bag. The Company's electric vehicles are VIDA V2 PRO, VIDA V2 PLUS and VIDA V2 LITE. It also provides periodic maintenance for accidental repair with a range of parts, engine oil, and accessories. The Company's subsidiaries include HMCL Americas Inc. USA, HMCL Netherlands B.V., HMC MM Auto Limited, and Hero Tech Centre Germany GmbH.</v>
    <v>9527</v>
    <v>National Stock Exchange of India</v>
    <v>XNSE</v>
    <v>XNSE</v>
    <v>The Grand Plaza, Plot No.2, Nelson Mandela Road, Vasant Kunj - Phase -II, NEW DELHI, DELHI, 110070 IN</v>
    <v>5732</v>
    <v>Automobiles &amp; Auto Parts</v>
    <v>Stock</v>
    <v>46038.492893518516</v>
    <v>240</v>
    <v>5617.5</v>
    <v>1147368000000</v>
    <v>Hero MotoCorp Limited</v>
    <v>Hero MotoCorp Limited</v>
    <v>5622</v>
    <v>21.49</v>
    <v>5676.5</v>
    <v>5651.5</v>
    <v>200081600</v>
    <v>HEROMOTOCO</v>
    <v>Hero MotoCorp Limited (XNSE:HEROMOTOCO)</v>
    <v>588398</v>
    <v>525220</v>
    <v>1984</v>
  </rv>
  <rv s="2">
    <v>241</v>
  </rv>
  <rv s="0">
    <v>https://www.bing.com/financeapi/forcetrigger?t=ahie2w&amp;q=XNSE%3aITC&amp;form=skydnc</v>
    <v>Learn more on Bing</v>
  </rv>
  <rv s="1">
    <v>0</v>
    <v>ITC LIMITED (XNSE:ITC)</v>
    <v>2</v>
    <v>3</v>
    <v>Finance</v>
    <v>4</v>
    <v>en-US</v>
    <v>ahie2w</v>
    <v>268435456</v>
    <v>1</v>
    <v>Powered by Refinitiv</v>
    <v>471.5</v>
    <v>328.55</v>
    <v>0.81950000000000001</v>
    <v>-5.55</v>
    <v>-1.6579999999999998E-2</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National Stock Exchange of India</v>
    <v>XNSE</v>
    <v>XNSE</v>
    <v>Virginia House, 37 Jawaharlal Nehru Road, KOLKATA, WEST BENGAL, 700071 IN</v>
    <v>337.5</v>
    <v>Food &amp; Tobacco</v>
    <v>Stock</v>
    <v>46038.492893518516</v>
    <v>243</v>
    <v>328.55</v>
    <v>4193443000000</v>
    <v>ITC LIMITED</v>
    <v>ITC LIMITED</v>
    <v>337.5</v>
    <v>20.77</v>
    <v>334.75</v>
    <v>329.2</v>
    <v>12528960000</v>
    <v>ITC</v>
    <v>ITC LIMITED (XNSE:ITC)</v>
    <v>30526898</v>
    <v>67969010</v>
    <v>1910</v>
  </rv>
  <rv s="2">
    <v>244</v>
  </rv>
  <rv s="0">
    <v>https://www.bing.com/financeapi/forcetrigger?t=ahk6a2&amp;q=XNSE%3aSUNPHARMA&amp;form=skydnc</v>
    <v>Learn more on Bing</v>
  </rv>
  <rv s="1">
    <v>0</v>
    <v>SUN PHARMACEUTICAL INDUSTRIES LIMITED (XNSE:SUNPHARMA)</v>
    <v>2</v>
    <v>3</v>
    <v>Finance</v>
    <v>4</v>
    <v>en-US</v>
    <v>ahk6a2</v>
    <v>268435456</v>
    <v>1</v>
    <v>Powered by Refinitiv</v>
    <v>1851.2</v>
    <v>1548</v>
    <v>0.83309999999999995</v>
    <v>-31.8</v>
    <v>-1.8697999999999999E-2</v>
    <v>INR</v>
    <v>Sun Pharmaceutical Industries Limited is an India-based specialty generic pharmaceutical company with a presence in specialty, generics and consumer healthcare products. The Company's global specialty portfolio spans products in dermatology, ophthalmology, and onco-dermatologym, among others. The Company manufactures and markets a large basket of pharmaceutical formulations across chronic and acute therapies, including generic, branded generics, specialty and complex products, over-the-counter (OTC), antiretrovirals (ARV), Active Pharmaceutical Ingredients (API), and intermediates. Its portfolio spans multiple dosage forms, such as tablets, capsules, injectables, inhalers, ointments, creams, and liquids. Its marketed specialty portfolio includes Ilumya/ Ilumetri, Winlevi, Levulan Kerastick + BLU-U, Absorica LD, Odomzo, Cequa, Bromsite, Xelpros, and others. Its portfolio also includes UNLOXCYTTM, an anti-PD-L1 treatment for advanced cutaneous squamous cell carcinoma.</v>
    <v>43000</v>
    <v>National Stock Exchange of India</v>
    <v>XNSE</v>
    <v>XNSE</v>
    <v>Sun House,, CTS No. 201 B/1,, Western Express Highway,Goregaon (E),, MUMBAI, MAHARASHTRA, 400063 IN</v>
    <v>1708</v>
    <v>Pharmaceuticals</v>
    <v>Stock</v>
    <v>46038.492905092593</v>
    <v>246</v>
    <v>1659.3</v>
    <v>4147730000000</v>
    <v>SUN PHARMACEUTICAL INDUSTRIES LIMITED</v>
    <v>SUN PHARMACEUTICAL INDUSTRIES LIMITED</v>
    <v>1708</v>
    <v>39.43</v>
    <v>1700.7</v>
    <v>1668.9</v>
    <v>2399335000</v>
    <v>SUNPHARMA</v>
    <v>SUN PHARMACEUTICAL INDUSTRIES LIMITED (XNSE:SUNPHARMA)</v>
    <v>3697596</v>
    <v>1806000</v>
    <v>1993</v>
  </rv>
  <rv s="2">
    <v>247</v>
  </rv>
  <rv s="0">
    <v>https://www.bing.com/financeapi/forcetrigger?t=ahis77&amp;q=XNSE%3aLTTS&amp;form=skydnc</v>
    <v>Learn more on Bing</v>
  </rv>
  <rv s="1">
    <v>0</v>
    <v>L&amp;T TECHNOLOGY SERVICES LIMITED (XNSE:LTTS)</v>
    <v>2</v>
    <v>3</v>
    <v>Finance</v>
    <v>4</v>
    <v>en-US</v>
    <v>ahis77</v>
    <v>268435456</v>
    <v>1</v>
    <v>Powered by Refinitiv</v>
    <v>5645</v>
    <v>3891</v>
    <v>1.2573000000000001</v>
    <v>-326.7</v>
    <v>-7.6982999999999996E-2</v>
    <v>INR</v>
    <v>L&amp;T Technology Services Limited is an India-based engineering research and development (ER&amp;D) services provider. The Company offers consultancy, design, development and testing services across the product and process development lifecycle. It operates in three segments: Mobility, Sustainability, and Tech. The Mobility segment encompasses automotive, commercial vehicles and aerospace verticals. The Sustainability segment covers industrial machinery and building technology, electric and power, fast-moving consumer goods (FMCG), and oil and gas. The Tech segment includes Medical Technology (MedTech), Hi-Tech, Semiconductors, Consumer Electronics, Hyperscalers, SmartWorld, and NexGen Comm verticals. It operates its technology areas in three horizontals: Artificial Intelligence (AI) and Software Defined Everything (SDx), Embedded Systems, and Digital Manufacturing Solutions. It serves approximately 69 Fortune 500 companies and 57 Engineering Research and Development (ER&amp;D) companies.</v>
    <v>23639</v>
    <v>National Stock Exchange of India</v>
    <v>XNSE</v>
    <v>XNSE</v>
    <v>L&amp;T Technology Services Limited, 5th Floor, West Block-II, L&amp;T Knowledge City (IT/ITES) SEZ, VADODARA, GUJARAT, 390019 IN</v>
    <v>4168</v>
    <v>Construction &amp; Engineering</v>
    <v>Stock</v>
    <v>46038.492893518516</v>
    <v>249</v>
    <v>3891</v>
    <v>457630100000</v>
    <v>L&amp;T TECHNOLOGY SERVICES LIMITED</v>
    <v>L&amp;T TECHNOLOGY SERVICES LIMITED</v>
    <v>4168</v>
    <v>35.729999999999997</v>
    <v>4243.8</v>
    <v>3917.1</v>
    <v>105996100</v>
    <v>LTTS</v>
    <v>L&amp;T TECHNOLOGY SERVICES LIMITED (XNSE:LTTS)</v>
    <v>456682</v>
    <v>65860</v>
    <v>2012</v>
  </rv>
  <rv s="2">
    <v>250</v>
  </rv>
  <rv s="0">
    <v>https://www.bing.com/financeapi/forcetrigger?t=ahjxfr&amp;q=XNSE%3aSHREECEM&amp;form=skydnc</v>
    <v>Learn more on Bing</v>
  </rv>
  <rv s="1">
    <v>0</v>
    <v>SHREE CEMENT LIMITED (XNSE:SHREECEM)</v>
    <v>2</v>
    <v>3</v>
    <v>Finance</v>
    <v>4</v>
    <v>en-US</v>
    <v>ahjxfr</v>
    <v>268435456</v>
    <v>1</v>
    <v>Powered by Refinitiv</v>
    <v>32490</v>
    <v>24817.8</v>
    <v>0.78600000000000003</v>
    <v>290</v>
    <v>1.0526000000000001E-2</v>
    <v>INR</v>
    <v>Shree Cement Limited is an India-based company, which is engaged in the manufacturing and selling of cement and cement related products. The Company's product categories include Ordinary Portland Cement (OPC), Portland Pozzolana Cement (PPC), Portland Slag Cement (PSC) and Composite Cement (CC). It has a diversified brand portfolio consisting of Shree Jung Rodhak Cement, Roofon Cement, Bangur Cement, Bangur Power Cement, Rockstrong Cement and Rockstrong Premium Cement. Its OPC products can be used both for structural and masonry applications and in pre-stress concrete structures. The Company's PPC products are used in the construction of hydraulic structures, such as sewage pipes, marine works, dams, dikes and more. The Company has a total cement production capacity of approximately 46.4 million tons per annum (MTPA) in India. Its oversea cement production capacity is approximately four MTPA and caters to its customers in the Middle East, Southeast Asia and other nearby markets.</v>
    <v>7022</v>
    <v>National Stock Exchange of India</v>
    <v>XNSE</v>
    <v>XNSE</v>
    <v>21 Strand Road, KOLKATA, WEST BENGAL, 700001 IN</v>
    <v>27900</v>
    <v>Construction Materials</v>
    <v>Stock</v>
    <v>46038.492905092593</v>
    <v>252</v>
    <v>27370</v>
    <v>979772700000</v>
    <v>SHREE CEMENT LIMITED</v>
    <v>SHREE CEMENT LIMITED</v>
    <v>27550</v>
    <v>57.83</v>
    <v>27550</v>
    <v>27840</v>
    <v>36080750</v>
    <v>SHREECEM</v>
    <v>SHREE CEMENT LIMITED (XNSE:SHREECEM)</v>
    <v>32929</v>
    <v>25430</v>
    <v>1979</v>
  </rv>
  <rv s="2">
    <v>253</v>
  </rv>
  <rv s="0">
    <v>https://www.bing.com/financeapi/forcetrigger?t=ahkgh7&amp;q=XNSE%3aUBL&amp;form=skydnc</v>
    <v>Learn more on Bing</v>
  </rv>
  <rv s="1">
    <v>0</v>
    <v>UNITED BREWERIES LIMITED (XNSE:UBL)</v>
    <v>2</v>
    <v>3</v>
    <v>Finance</v>
    <v>4</v>
    <v>en-US</v>
    <v>ahkgh7</v>
    <v>268435456</v>
    <v>1</v>
    <v>Powered by Refinitiv</v>
    <v>2299.6999999999998</v>
    <v>1495.4</v>
    <v>0.70669999999999999</v>
    <v>0.7</v>
    <v>4.6059999999999997E-4</v>
    <v>INR</v>
    <v>United Breweries Limited is an India-based beer company, which is engaged in the manufacturing, purchasing and selling of beer and non-alcoholic beverages. The Company’s Beer segment includes the manufacture, purchase and sale of beer, including licensing of brands. Its product range includes internationally recognized beers, non-alcoholic beverages, packaged drinking water, and soda. Its alcoholic brands include Heineken Original; Heineken Silver; Amstel Bier; Amstel Grande Bier; Kingfisher Premium; Kingfisher Strong; Kingfisher Ultra; Kingfisher Ultra Max; Kingfisher Ultra Witbier; Kingfisher Storm; Kingfisher Blue; Kingfisher Flavour Mango; Kingfisher Flavour Lemon; Bullet Super Strong; Cannon 1000, and others. Its non-alcoholic brands include Heineken 0.0; Kingfisher Premium Packaged Drinking Water; Kingfisher Strong Power Soda, and Kingfisher Ultra Premium Soda. The Company has manufacturing facilities in India. It has operations in approximately 50 international markets.</v>
    <v>1441</v>
    <v>National Stock Exchange of India</v>
    <v>XNSE</v>
    <v>XNSE</v>
    <v>Level 3, 4 &amp; 5, UB Towers, UB City, 24 Vittal Mallya Road, BANGALORE, KARNATAKA, 560001 IN</v>
    <v>1522</v>
    <v>Beverages</v>
    <v>Stock</v>
    <v>46038.492905092593</v>
    <v>255</v>
    <v>1497.6</v>
    <v>405544600000</v>
    <v>UNITED BREWERIES LIMITED</v>
    <v>UNITED BREWERIES LIMITED</v>
    <v>1515.1</v>
    <v>109.68</v>
    <v>1519.6</v>
    <v>1520.3</v>
    <v>264405200</v>
    <v>UBL</v>
    <v>UNITED BREWERIES LIMITED (XNSE:UBL)</v>
    <v>57692</v>
    <v>69880</v>
    <v>1999</v>
  </rv>
  <rv s="2">
    <v>256</v>
  </rv>
  <rv s="0">
    <v>https://www.bing.com/financeapi/forcetrigger?t=ahkpgh&amp;q=XNSE%3aZEEL&amp;form=skydnc</v>
    <v>Learn more on Bing</v>
  </rv>
  <rv s="1">
    <v>0</v>
    <v>Zee Entertainment Enterprises Limited (XNSE:ZEEL)</v>
    <v>2</v>
    <v>3</v>
    <v>Finance</v>
    <v>4</v>
    <v>en-US</v>
    <v>ahkpgh</v>
    <v>268435456</v>
    <v>1</v>
    <v>Powered by Refinitiv</v>
    <v>151.69999999999999</v>
    <v>88.72</v>
    <v>1.3389</v>
    <v>-0.79</v>
    <v>-8.7500000000000008E-3</v>
    <v>INR</v>
    <v>Zee Entertainment Enterprises Limited is an India-based content company offering entertainment content to diverse audiences. The Company is engaged in businesses, such as broadcasting of satellite television channels and digital media; space selling agent for other satellite television channels; sale of media content, such as programs/film rights/feeds/music rights, and movie production and distribution. Its entertainment platforms consist of Broadcast, which includes domestic and international; Digital, which includes over-the-top (OTT), content delivery, and technology &amp; innovation, and Movies &amp; Music, which includes movie production &amp; distribution, and music publishing. Its domestic broadcasting categories include Hindi General Entertainment Channels, Regional Entertainment Channels, Hindi Movie Cluster and Niche Channels. It serves the South Asian diaspora with channels and programming in Indian languages, as well as the international audience in their native languages as well.</v>
    <v>2486</v>
    <v>National Stock Exchange of India</v>
    <v>XNSE</v>
    <v>XNSE</v>
    <v>18th Floor, A - Wing, Marathon Futurex, Lower Parel, MUMBAI, MAHARASHTRA, 400013 IN</v>
    <v>90.67</v>
    <v>Media &amp; Publishing</v>
    <v>Stock</v>
    <v>46038.49291666667</v>
    <v>258</v>
    <v>89.3</v>
    <v>85611090000</v>
    <v>Zee Entertainment Enterprises Limited</v>
    <v>Zee Entertainment Enterprises Limited</v>
    <v>90.29</v>
    <v>15.16</v>
    <v>90.29</v>
    <v>89.5</v>
    <v>960519400</v>
    <v>ZEEL</v>
    <v>Zee Entertainment Enterprises Limited (XNSE:ZEEL)</v>
    <v>3476581</v>
    <v>6953710</v>
    <v>1982</v>
  </rv>
  <rv s="2">
    <v>259</v>
  </rv>
  <rv s="0">
    <v>https://www.bing.com/financeapi/forcetrigger?t=ahhaur&amp;q=XNSE%3aZYDUSLIFE&amp;form=skydnc</v>
    <v>Learn more on Bing</v>
  </rv>
  <rv s="1">
    <v>0</v>
    <v>ZYDUS LIFESCIENCES LIMITED (XNSE:ZYDUSLIFE)</v>
    <v>2</v>
    <v>3</v>
    <v>Finance</v>
    <v>4</v>
    <v>en-US</v>
    <v>ahhaur</v>
    <v>268435456</v>
    <v>1</v>
    <v>Powered by Refinitiv</v>
    <v>1059.05</v>
    <v>795</v>
    <v>0.53910000000000002</v>
    <v>-15.65</v>
    <v>-1.7708999999999999E-2</v>
    <v>INR</v>
    <v>Zydus Lifesciences Limited is an India-based life-sciences company with positions across pharmaceuticals and consumer wellness, supported by a MedTech franchise and a global footprint across United States, India and other international markets. Its pharmaceutical business includes integrated pharmaceutical operations with business encompassing the entire value chain in research, development, production, marketing and distribution of pharmaceutical products. Its product portfolio includes active pharmaceutical ingredients, human formulations, and animal health and veterinary. Its consumer products business includes development, production, marketing and distribution of differentiated health and wellness products. It provides biologicals manufacturing sites offering contract development and manufacturing organization services to biopharmaceutical companies globally. Its focused therapy areas include cardiology, anti-diabetes, super specialty areas of oncology and nephrology, and others.</v>
    <v>27917</v>
    <v>National Stock Exchange of India</v>
    <v>XNSE</v>
    <v>XNSE</v>
    <v>Zydus Corporate Park, Scheme No. 63, Survey No. 536, Near Vaishnodevi Circle, Khoraj (Gandhinagar), Sarkhej-Gandhinagar Highway, AHMEDABAD, GUJARAT, 382481 IN</v>
    <v>891</v>
    <v>Pharmaceuticals</v>
    <v>Stock</v>
    <v>46038.49291666667</v>
    <v>261</v>
    <v>865.4</v>
    <v>906314900000</v>
    <v>ZYDUS LIFESCIENCES LIMITED</v>
    <v>ZYDUS LIFESCIENCES LIMITED</v>
    <v>888</v>
    <v>18.07</v>
    <v>883.75</v>
    <v>868.1</v>
    <v>1006234000</v>
    <v>ZYDUSLIFE</v>
    <v>ZYDUS LIFESCIENCES LIMITED (XNSE:ZYDUSLIFE)</v>
    <v>1052948</v>
    <v>501990</v>
    <v>1995</v>
  </rv>
  <rv s="2">
    <v>262</v>
  </rv>
</rvData>
</file>

<file path=xl/richData/rdrichvaluestructure.xml><?xml version="1.0" encoding="utf-8"?>
<rvStructures xmlns="http://schemas.microsoft.com/office/spreadsheetml/2017/richdata" count="10">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Beta"/>
    <k n="Currency" t="s"/>
    <k n="Description" t="s"/>
    <k n="Employees"/>
    <k n="Exchange" t="s"/>
    <k n="Exchange abbreviation" t="s"/>
    <k n="ExchangeID" t="s"/>
    <k n="Headquarters" t="s"/>
    <k n="Industry" t="s"/>
    <k n="Instrument type" t="s"/>
    <k n="Last trade time"/>
    <k n="LearnMoreOnLink" t="r"/>
    <k n="Name" t="s"/>
    <k n="Official name" t="s"/>
    <k n="P/E"/>
    <k n="Previous close"/>
    <k n="Shares outstanding"/>
    <k n="Ticker symbol" t="s"/>
    <k n="UniqueName" t="s"/>
    <k n="Volume average"/>
    <k n="Year incorporated"/>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2">
      <v t="s">%EntityServiceId</v>
      <v t="s">_Format</v>
      <v t="s">%IsRefreshable</v>
      <v t="s">%EntityCulture</v>
      <v t="s">%EntityId</v>
      <v t="s">_Icon</v>
      <v t="s">_Display</v>
      <v t="s">Name</v>
      <v t="s">Exchange</v>
      <v t="s">Official name</v>
      <v t="s">_SubLabel</v>
      <v t="s">Last trade time</v>
      <v t="s">Ticker symbol</v>
      <v t="s">Exchange abbreviation</v>
      <v t="s">Currency</v>
      <v t="s">Previous close</v>
      <v t="s">Volume average</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9">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2</v>
      <v>2</v>
      <v>1</v>
      <v>3</v>
      <v>1</v>
      <v>1</v>
      <v>1</v>
      <v>4</v>
      <v>4</v>
      <v>5</v>
      <v>6</v>
      <v>1</v>
      <v>1</v>
      <v>1</v>
      <v>4</v>
      <v>7</v>
      <v>9</v>
      <v>4</v>
    </spb>
    <spb s="10">
      <v>3</v>
      <v>Name</v>
    </spb>
    <spb s="11">
      <v>1</v>
      <v>1</v>
      <v>1</v>
    </spb>
    <spb s="12">
      <v>1</v>
      <v>2</v>
      <v>2</v>
      <v>1</v>
      <v>3</v>
      <v>1</v>
      <v>1</v>
      <v>1</v>
      <v>4</v>
      <v>4</v>
      <v>5</v>
      <v>6</v>
      <v>1</v>
      <v>4</v>
      <v>7</v>
      <v>8</v>
      <v>9</v>
      <v>4</v>
    </spb>
    <spb s="10">
      <v>4</v>
      <v>Name</v>
    </spb>
    <spb s="0">
      <v>5</v>
      <v>Name</v>
      <v>LearnMoreOnLink</v>
    </spb>
    <spb s="13">
      <v>2</v>
      <v>2</v>
      <v>3</v>
      <v>4</v>
      <v>1</v>
      <v>4</v>
      <v>11</v>
      <v>8</v>
      <v>9</v>
      <v>4</v>
    </spb>
    <spb s="14">
      <v>GMT</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Order" t="spba"/>
    <k n="TitleProperty" t="s"/>
  </s>
  <s>
    <k n="ExchangeID" t="spb"/>
    <k n="UniqueName" t="spb"/>
    <k n="`%ProviderInfo" t="spb"/>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E" t="i"/>
    <k n="Beta" t="i"/>
    <k n="Name" t="i"/>
    <k n="Employees" t="i"/>
    <k n="Previous close" t="i"/>
    <k n="Volume average" t="i"/>
    <k n="Last trade time" t="i"/>
    <k n="Year incorporated" t="i"/>
    <k n="`%EntityServiceId" t="i"/>
    <k n="Shares outstanding"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x:dxf>
      <x:numFmt numFmtId="19" formatCode="m/d/yy"/>
    </x:dxf>
  </dxfs>
  <richProperties>
    <rPr n="NumberFormat" t="s"/>
    <rPr n="IsTitleField" t="b"/>
    <rPr n="IsHeroField" t="b"/>
  </richProperties>
  <richStyles>
    <rSty dxfid="1">
      <rpv i="0">_-[$¤-ks-Deva] * #,##0.00_-;-[$¤-ks-Deva] * #,##0.00_-;_-[$¤-ks-Deva] * "-"??_-;_-@_-</rpv>
    </rSty>
    <rSty dxfid="5">
      <rpv i="0">#,##0.00</rpv>
    </rSty>
    <rSty>
      <rpv i="1">1</rpv>
    </rSty>
    <rSty dxfid="4">
      <rpv i="0">#,##0</rpv>
    </rSty>
    <rSty dxfid="3"/>
    <rSty dxfid="1">
      <rpv i="0">_-[$¤-ks-Deva] * #,##0_-;-[$¤-ks-Deva] * #,##0_-;_-[$¤-ks-Deva] * "-"_-;_-@_-</rpv>
    </rSty>
    <rSty dxfid="2"/>
    <rSty dxfid="6">
      <rpv i="0">0</rpv>
    </rSty>
    <rSty dxfid="0">
      <rpv i="0">0.00</rpv>
    </rSty>
    <rSty>
      <rpv i="2">1</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
  <sheetViews>
    <sheetView workbookViewId="0">
      <selection activeCell="G19" sqref="G19"/>
    </sheetView>
  </sheetViews>
  <sheetFormatPr baseColWidth="10" defaultColWidth="8.83203125" defaultRowHeight="15" x14ac:dyDescent="0.2"/>
  <cols>
    <col min="2" max="2" width="11.1640625" bestFit="1" customWidth="1"/>
    <col min="4" max="4" width="7.1640625" bestFit="1" customWidth="1"/>
    <col min="5" max="5" width="4.83203125" bestFit="1" customWidth="1"/>
    <col min="6" max="6" width="6.1640625" bestFit="1" customWidth="1"/>
    <col min="19" max="19" width="17.5" customWidth="1"/>
  </cols>
  <sheetData>
    <row r="1" spans="1:23"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5"/>
      <c r="U1" s="6" t="s">
        <v>107</v>
      </c>
    </row>
    <row r="2" spans="1:23" x14ac:dyDescent="0.2">
      <c r="A2" t="s">
        <v>19</v>
      </c>
      <c r="B2" s="2">
        <v>46024</v>
      </c>
      <c r="C2">
        <v>2772.6</v>
      </c>
      <c r="D2">
        <v>2772.6</v>
      </c>
      <c r="E2">
        <v>0</v>
      </c>
      <c r="F2">
        <v>58.84</v>
      </c>
      <c r="G2">
        <v>13.8</v>
      </c>
      <c r="H2">
        <v>2782.18</v>
      </c>
      <c r="I2">
        <v>-0.34</v>
      </c>
      <c r="J2">
        <v>1.33</v>
      </c>
      <c r="K2">
        <v>0.52</v>
      </c>
      <c r="L2" t="s">
        <v>20</v>
      </c>
      <c r="M2">
        <v>2754.36</v>
      </c>
      <c r="N2">
        <v>2800.33</v>
      </c>
      <c r="O2">
        <v>2661.7</v>
      </c>
      <c r="P2">
        <v>2911.23</v>
      </c>
      <c r="Q2">
        <v>3049.86</v>
      </c>
      <c r="R2">
        <v>81</v>
      </c>
      <c r="S2" t="s">
        <v>21</v>
      </c>
      <c r="W2" s="3"/>
    </row>
    <row r="3" spans="1:23" x14ac:dyDescent="0.2">
      <c r="A3" t="s">
        <v>22</v>
      </c>
      <c r="B3" s="2">
        <v>46024</v>
      </c>
      <c r="C3">
        <v>2067.4</v>
      </c>
      <c r="D3">
        <v>2067.4</v>
      </c>
      <c r="E3">
        <v>0</v>
      </c>
      <c r="F3">
        <v>70.010000000000005</v>
      </c>
      <c r="G3">
        <v>7.27</v>
      </c>
      <c r="H3">
        <v>2010.85</v>
      </c>
      <c r="I3">
        <v>2.81</v>
      </c>
      <c r="J3">
        <v>1.17</v>
      </c>
      <c r="K3">
        <v>0.74</v>
      </c>
      <c r="L3" t="s">
        <v>20</v>
      </c>
      <c r="M3">
        <v>2036.39</v>
      </c>
      <c r="N3">
        <v>2088.0700000000002</v>
      </c>
      <c r="O3">
        <v>1950.52</v>
      </c>
      <c r="P3">
        <v>2170.77</v>
      </c>
      <c r="Q3">
        <v>2274.14</v>
      </c>
      <c r="R3">
        <v>71</v>
      </c>
      <c r="S3" t="s">
        <v>21</v>
      </c>
      <c r="W3" s="3"/>
    </row>
    <row r="4" spans="1:23" x14ac:dyDescent="0.2">
      <c r="A4" t="s">
        <v>23</v>
      </c>
      <c r="B4" s="2">
        <v>46024</v>
      </c>
      <c r="C4">
        <v>125.35</v>
      </c>
      <c r="D4">
        <v>125.35</v>
      </c>
      <c r="E4">
        <v>0</v>
      </c>
      <c r="F4">
        <v>63.7</v>
      </c>
      <c r="G4">
        <v>0.05</v>
      </c>
      <c r="H4">
        <v>121.94</v>
      </c>
      <c r="I4">
        <v>2.8</v>
      </c>
      <c r="J4">
        <v>1.2</v>
      </c>
      <c r="K4">
        <v>0.95</v>
      </c>
      <c r="L4" t="s">
        <v>20</v>
      </c>
      <c r="M4">
        <v>123.47</v>
      </c>
      <c r="N4">
        <v>126.6</v>
      </c>
      <c r="O4">
        <v>118.28</v>
      </c>
      <c r="P4">
        <v>131.62</v>
      </c>
      <c r="Q4">
        <v>137.88</v>
      </c>
      <c r="R4">
        <v>70</v>
      </c>
      <c r="S4" t="s">
        <v>21</v>
      </c>
      <c r="W4" s="3"/>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B64"/>
  <sheetViews>
    <sheetView topLeftCell="A27" workbookViewId="0">
      <selection activeCell="A65" sqref="A65"/>
    </sheetView>
  </sheetViews>
  <sheetFormatPr baseColWidth="10" defaultColWidth="8.83203125" defaultRowHeight="15" x14ac:dyDescent="0.2"/>
  <cols>
    <col min="1" max="1" width="32.5" customWidth="1"/>
    <col min="2" max="2" width="12" customWidth="1"/>
    <col min="3" max="3" width="8.83203125" style="30"/>
    <col min="4" max="4" width="10.1640625" bestFit="1" customWidth="1"/>
    <col min="5" max="5" width="6.33203125" customWidth="1"/>
    <col min="9" max="9" width="9.83203125" customWidth="1"/>
    <col min="10" max="10" width="10.6640625" customWidth="1"/>
    <col min="11" max="11" width="9" customWidth="1"/>
    <col min="12" max="12" width="16.5" customWidth="1"/>
    <col min="18" max="18" width="7.83203125" customWidth="1"/>
    <col min="19" max="19" width="28.1640625" customWidth="1"/>
    <col min="20" max="20" width="70" customWidth="1"/>
  </cols>
  <sheetData>
    <row r="1" spans="1:132" ht="24" x14ac:dyDescent="0.2">
      <c r="A1" s="10" t="s">
        <v>0</v>
      </c>
      <c r="B1" s="10"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30"/>
      <c r="U1" s="33" t="s">
        <v>109</v>
      </c>
      <c r="V1" s="30" t="s">
        <v>108</v>
      </c>
      <c r="W1" s="15" t="s">
        <v>112</v>
      </c>
      <c r="X1" s="30" t="s">
        <v>113</v>
      </c>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row>
    <row r="2" spans="1:132" s="13" customFormat="1" x14ac:dyDescent="0.2">
      <c r="A2" s="13" t="e" vm="1">
        <v>#VALUE!</v>
      </c>
      <c r="B2" s="14">
        <v>46024</v>
      </c>
      <c r="C2" s="30">
        <v>1511.6</v>
      </c>
      <c r="D2" s="28" cm="1">
        <f t="array" aca="1" ref="D2" ca="1">_FV(A2,"Price")</f>
        <v>1397.5</v>
      </c>
      <c r="E2" s="30">
        <v>0</v>
      </c>
      <c r="F2" s="30">
        <v>48.29</v>
      </c>
      <c r="G2" s="30">
        <v>-5.72</v>
      </c>
      <c r="H2" s="30">
        <v>1515.51</v>
      </c>
      <c r="I2" s="30">
        <v>-0.26</v>
      </c>
      <c r="J2" s="30">
        <v>0.88</v>
      </c>
      <c r="K2" s="30">
        <v>1.1100000000000001</v>
      </c>
      <c r="L2" s="30" t="s">
        <v>20</v>
      </c>
      <c r="M2" s="30">
        <v>1500.35</v>
      </c>
      <c r="N2" s="30">
        <v>1526.72</v>
      </c>
      <c r="O2" s="30">
        <v>1451.14</v>
      </c>
      <c r="P2" s="30">
        <v>1587.18</v>
      </c>
      <c r="Q2" s="30">
        <v>1662.76</v>
      </c>
      <c r="R2" s="30">
        <v>35</v>
      </c>
      <c r="S2" s="30" t="s">
        <v>30</v>
      </c>
      <c r="T2" s="30" t="s">
        <v>110</v>
      </c>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row>
    <row r="3" spans="1:132" x14ac:dyDescent="0.2">
      <c r="A3" t="e" vm="2">
        <v>#VALUE!</v>
      </c>
      <c r="B3" s="2">
        <v>46024</v>
      </c>
      <c r="C3" s="30">
        <v>2348</v>
      </c>
      <c r="D3" s="28" cm="1">
        <f t="array" aca="1" ref="D3" ca="1">_FV(A3,"Price")</f>
        <v>2360.4</v>
      </c>
      <c r="E3" s="30">
        <v>0</v>
      </c>
      <c r="F3" s="30">
        <v>45.09</v>
      </c>
      <c r="G3" s="30">
        <v>-26.51</v>
      </c>
      <c r="H3" s="30">
        <v>2370.09</v>
      </c>
      <c r="I3" s="30">
        <v>-0.93</v>
      </c>
      <c r="J3" s="30">
        <v>0.76</v>
      </c>
      <c r="K3" s="30">
        <v>1.1200000000000001</v>
      </c>
      <c r="L3" s="30" t="s">
        <v>20</v>
      </c>
      <c r="M3" s="30">
        <v>2346.39</v>
      </c>
      <c r="N3" s="30">
        <v>2371.48</v>
      </c>
      <c r="O3" s="30">
        <v>2254.08</v>
      </c>
      <c r="P3" s="30">
        <v>2465.4</v>
      </c>
      <c r="Q3" s="30">
        <v>2582.8000000000002</v>
      </c>
      <c r="R3" s="30">
        <v>35</v>
      </c>
      <c r="S3" s="30" t="s">
        <v>30</v>
      </c>
      <c r="T3" s="30" t="s">
        <v>111</v>
      </c>
      <c r="U3" s="30"/>
      <c r="V3" s="30">
        <v>50</v>
      </c>
      <c r="W3" s="30">
        <v>22</v>
      </c>
      <c r="X3" s="30">
        <v>2705</v>
      </c>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row>
    <row r="4" spans="1:132" x14ac:dyDescent="0.2">
      <c r="A4" t="e" vm="3">
        <v>#VALUE!</v>
      </c>
      <c r="B4" s="2">
        <v>46024</v>
      </c>
      <c r="C4" s="30">
        <v>1355.4</v>
      </c>
      <c r="D4" s="28" cm="1">
        <f t="array" aca="1" ref="D4" ca="1">_FV(A4,"Price")</f>
        <v>1410.8</v>
      </c>
      <c r="E4" s="30">
        <v>0</v>
      </c>
      <c r="F4" s="30">
        <v>45.89</v>
      </c>
      <c r="G4" s="30">
        <v>-5.38</v>
      </c>
      <c r="H4" s="30">
        <v>1363.8</v>
      </c>
      <c r="I4" s="30">
        <v>-0.62</v>
      </c>
      <c r="J4" s="30">
        <v>0.86</v>
      </c>
      <c r="K4" s="30">
        <v>1.1200000000000001</v>
      </c>
      <c r="L4" s="30" t="s">
        <v>20</v>
      </c>
      <c r="M4" s="30">
        <v>1350.16</v>
      </c>
      <c r="N4" s="30">
        <v>1368.95</v>
      </c>
      <c r="O4" s="30">
        <v>1301.18</v>
      </c>
      <c r="P4" s="30">
        <v>1423.17</v>
      </c>
      <c r="Q4" s="30">
        <v>1490.94</v>
      </c>
      <c r="R4" s="30">
        <v>35</v>
      </c>
      <c r="S4" s="30" t="s">
        <v>30</v>
      </c>
      <c r="T4" s="30" t="s">
        <v>114</v>
      </c>
      <c r="U4" s="30"/>
      <c r="V4" s="30">
        <v>17</v>
      </c>
      <c r="W4" s="30">
        <v>16.18</v>
      </c>
      <c r="X4" s="30">
        <v>1500</v>
      </c>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row>
    <row r="5" spans="1:132" x14ac:dyDescent="0.2">
      <c r="A5" s="8" t="e" vm="4">
        <v>#VALUE!</v>
      </c>
      <c r="B5" s="9">
        <v>46024</v>
      </c>
      <c r="C5" s="30">
        <v>270.95</v>
      </c>
      <c r="D5" s="28" cm="1">
        <f t="array" aca="1" ref="D5" ca="1">_FV(A5,"Price")</f>
        <v>257.3</v>
      </c>
      <c r="E5" s="30">
        <v>0</v>
      </c>
      <c r="F5" s="30">
        <v>45.11</v>
      </c>
      <c r="G5" s="30">
        <v>-0.84</v>
      </c>
      <c r="H5" s="30">
        <v>270.3</v>
      </c>
      <c r="I5" s="30">
        <v>0.24</v>
      </c>
      <c r="J5" s="30">
        <v>0.74</v>
      </c>
      <c r="K5" s="30">
        <v>1.81</v>
      </c>
      <c r="L5" s="30" t="s">
        <v>25</v>
      </c>
      <c r="M5" s="28">
        <v>267.60000000000002</v>
      </c>
      <c r="N5" s="30">
        <v>273.66000000000003</v>
      </c>
      <c r="O5" s="30">
        <v>260.11</v>
      </c>
      <c r="P5" s="30">
        <v>284.5</v>
      </c>
      <c r="Q5" s="30">
        <v>298.05</v>
      </c>
      <c r="R5" s="30">
        <v>35</v>
      </c>
      <c r="S5" s="30" t="s">
        <v>30</v>
      </c>
      <c r="T5" s="30" t="s">
        <v>115</v>
      </c>
      <c r="U5" s="30"/>
      <c r="V5" s="30">
        <v>16.59</v>
      </c>
      <c r="W5" s="30">
        <v>15.37</v>
      </c>
      <c r="X5" s="30">
        <v>322</v>
      </c>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row>
    <row r="6" spans="1:132" x14ac:dyDescent="0.2">
      <c r="A6" s="8" t="e" vm="5">
        <v>#VALUE!</v>
      </c>
      <c r="B6" s="9">
        <v>46024</v>
      </c>
      <c r="C6" s="30">
        <v>11899</v>
      </c>
      <c r="D6" s="28" cm="1">
        <f t="array" aca="1" ref="D6" ca="1">_FV(A6,"Price")</f>
        <v>12378</v>
      </c>
      <c r="E6" s="30">
        <v>0</v>
      </c>
      <c r="F6" s="30">
        <v>50.44</v>
      </c>
      <c r="G6" s="30">
        <v>-54.92</v>
      </c>
      <c r="H6" s="30">
        <v>11750.8</v>
      </c>
      <c r="I6" s="30">
        <v>1.26</v>
      </c>
      <c r="J6" s="30">
        <v>0.83</v>
      </c>
      <c r="K6" s="30">
        <v>1.3</v>
      </c>
      <c r="L6" s="30" t="s">
        <v>33</v>
      </c>
      <c r="M6" s="30">
        <v>11720.52</v>
      </c>
      <c r="N6" s="30">
        <v>12017.99</v>
      </c>
      <c r="O6" s="30">
        <v>11398.28</v>
      </c>
      <c r="P6" s="30">
        <v>12493.95</v>
      </c>
      <c r="Q6" s="30">
        <v>13088.9</v>
      </c>
      <c r="R6" s="30">
        <v>35</v>
      </c>
      <c r="S6" s="30" t="s">
        <v>30</v>
      </c>
      <c r="T6" s="30" t="s">
        <v>116</v>
      </c>
      <c r="U6" s="30"/>
      <c r="V6" s="30">
        <v>48</v>
      </c>
      <c r="W6" s="30">
        <v>10</v>
      </c>
      <c r="X6" s="30">
        <v>14097</v>
      </c>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row>
    <row r="7" spans="1:132" s="16" customFormat="1" x14ac:dyDescent="0.2">
      <c r="A7" s="16" t="e" vm="6">
        <v>#VALUE!</v>
      </c>
      <c r="B7" s="17">
        <v>46024</v>
      </c>
      <c r="C7" s="30">
        <v>1973.9</v>
      </c>
      <c r="D7" s="28" cm="1">
        <f t="array" aca="1" ref="D7" ca="1">_FV(A7,"Price")</f>
        <v>1870.2</v>
      </c>
      <c r="E7" s="30">
        <v>0</v>
      </c>
      <c r="F7" s="30">
        <v>54.94</v>
      </c>
      <c r="G7" s="30">
        <v>-2.69</v>
      </c>
      <c r="H7" s="30">
        <v>1978.41</v>
      </c>
      <c r="I7" s="30">
        <v>-0.23</v>
      </c>
      <c r="J7" s="30">
        <v>0.85</v>
      </c>
      <c r="K7" s="30">
        <v>0.47</v>
      </c>
      <c r="L7" s="30" t="s">
        <v>20</v>
      </c>
      <c r="M7" s="30">
        <v>1958.63</v>
      </c>
      <c r="N7" s="30">
        <v>1993.64</v>
      </c>
      <c r="O7" s="30">
        <v>1894.94</v>
      </c>
      <c r="P7" s="30">
        <v>2072.6</v>
      </c>
      <c r="Q7" s="30">
        <v>2171.29</v>
      </c>
      <c r="R7" s="30">
        <v>35</v>
      </c>
      <c r="S7" s="30" t="s">
        <v>30</v>
      </c>
      <c r="T7" s="30" t="s">
        <v>117</v>
      </c>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row>
    <row r="8" spans="1:132" s="16" customFormat="1" x14ac:dyDescent="0.2">
      <c r="A8" s="16" t="e" vm="7">
        <v>#VALUE!</v>
      </c>
      <c r="B8" s="17">
        <v>46024</v>
      </c>
      <c r="C8" s="30">
        <v>1478.2</v>
      </c>
      <c r="D8" s="28" cm="1">
        <f t="array" aca="1" ref="D8" ca="1">_FV(A8,"Price")</f>
        <v>1476.6</v>
      </c>
      <c r="E8" s="30">
        <v>0</v>
      </c>
      <c r="F8" s="30">
        <v>48.97</v>
      </c>
      <c r="G8" s="30">
        <v>-3.11</v>
      </c>
      <c r="H8" s="30">
        <v>1464.81</v>
      </c>
      <c r="I8" s="30">
        <v>0.91</v>
      </c>
      <c r="J8" s="30">
        <v>0.9</v>
      </c>
      <c r="K8" s="30">
        <v>0.81</v>
      </c>
      <c r="L8" s="30" t="s">
        <v>20</v>
      </c>
      <c r="M8" s="30">
        <v>1456.03</v>
      </c>
      <c r="N8" s="30">
        <v>1492.98</v>
      </c>
      <c r="O8" s="30">
        <v>1419.07</v>
      </c>
      <c r="P8" s="30">
        <v>1552.11</v>
      </c>
      <c r="Q8" s="30">
        <v>1626.02</v>
      </c>
      <c r="R8" s="30">
        <v>35</v>
      </c>
      <c r="S8" s="30" t="s">
        <v>30</v>
      </c>
      <c r="T8" s="30" t="s">
        <v>116</v>
      </c>
      <c r="U8" s="30"/>
      <c r="V8" s="30">
        <v>66</v>
      </c>
      <c r="W8" s="30">
        <v>23</v>
      </c>
      <c r="X8" s="30" t="s">
        <v>118</v>
      </c>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c r="EA8" s="30"/>
      <c r="EB8" s="30"/>
    </row>
    <row r="9" spans="1:132" x14ac:dyDescent="0.2">
      <c r="A9" t="e" vm="8">
        <v>#VALUE!</v>
      </c>
      <c r="B9" s="2">
        <v>46024</v>
      </c>
      <c r="C9" s="30">
        <v>1001.6</v>
      </c>
      <c r="D9" s="28" cm="1">
        <f t="array" aca="1" ref="D9" ca="1">_FV(A9,"Price")</f>
        <v>931.1</v>
      </c>
      <c r="E9" s="30">
        <v>0</v>
      </c>
      <c r="F9" s="30">
        <v>57.67</v>
      </c>
      <c r="G9" s="30">
        <v>-1.78</v>
      </c>
      <c r="H9" s="30">
        <v>994.88</v>
      </c>
      <c r="I9" s="30">
        <v>0.67</v>
      </c>
      <c r="J9" s="30">
        <v>0.88</v>
      </c>
      <c r="K9" s="30">
        <v>0.9</v>
      </c>
      <c r="L9" s="30" t="s">
        <v>20</v>
      </c>
      <c r="M9" s="30">
        <v>986.58</v>
      </c>
      <c r="N9" s="30">
        <v>1011.62</v>
      </c>
      <c r="O9" s="30">
        <v>961.54</v>
      </c>
      <c r="P9" s="30">
        <v>1051.68</v>
      </c>
      <c r="Q9" s="30">
        <v>1101.76</v>
      </c>
      <c r="R9" s="30">
        <v>43</v>
      </c>
      <c r="S9" s="30" t="s">
        <v>30</v>
      </c>
      <c r="T9" s="30" t="s">
        <v>119</v>
      </c>
      <c r="U9" s="30"/>
      <c r="V9" s="30">
        <v>20.5</v>
      </c>
      <c r="W9" s="30">
        <v>13.42</v>
      </c>
      <c r="X9" s="30">
        <v>1020</v>
      </c>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row>
    <row r="10" spans="1:132" x14ac:dyDescent="0.2">
      <c r="A10" t="e" vm="9">
        <v>#VALUE!</v>
      </c>
      <c r="B10" s="2">
        <v>46024</v>
      </c>
      <c r="C10" s="30">
        <v>148.16999999999999</v>
      </c>
      <c r="D10" s="28" cm="1">
        <f t="array" aca="1" ref="D10" ca="1">_FV(A10,"Price")</f>
        <v>142.63</v>
      </c>
      <c r="E10" s="30">
        <v>0</v>
      </c>
      <c r="F10" s="30">
        <v>59.19</v>
      </c>
      <c r="G10" s="30">
        <v>-1.93</v>
      </c>
      <c r="H10" s="30">
        <v>148.02000000000001</v>
      </c>
      <c r="I10" s="30">
        <v>0.1</v>
      </c>
      <c r="J10" s="30">
        <v>0.55000000000000004</v>
      </c>
      <c r="K10" s="30">
        <v>1.01</v>
      </c>
      <c r="L10" s="30" t="s">
        <v>20</v>
      </c>
      <c r="M10" s="30">
        <v>146.54</v>
      </c>
      <c r="N10" s="30">
        <v>149.65</v>
      </c>
      <c r="O10" s="30">
        <v>142.24</v>
      </c>
      <c r="P10" s="30">
        <v>155.58000000000001</v>
      </c>
      <c r="Q10" s="30">
        <v>162.99</v>
      </c>
      <c r="R10" s="30">
        <v>43</v>
      </c>
      <c r="S10" s="30" t="s">
        <v>30</v>
      </c>
      <c r="T10" s="30" t="s">
        <v>120</v>
      </c>
      <c r="U10" s="30"/>
      <c r="V10" s="30">
        <v>24.33</v>
      </c>
      <c r="W10" s="30">
        <v>20.58</v>
      </c>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row>
    <row r="11" spans="1:132" s="18" customFormat="1" x14ac:dyDescent="0.2">
      <c r="A11" s="8" t="e" vm="10">
        <v>#VALUE!</v>
      </c>
      <c r="B11" s="9">
        <v>46024</v>
      </c>
      <c r="C11" s="30">
        <v>3802.4</v>
      </c>
      <c r="D11" s="28" cm="1">
        <f t="array" aca="1" ref="D11" ca="1">_FV(A11,"Price")</f>
        <v>3658.2</v>
      </c>
      <c r="E11" s="30">
        <v>0</v>
      </c>
      <c r="F11" s="30">
        <v>63.48</v>
      </c>
      <c r="G11" s="30">
        <v>-10.15</v>
      </c>
      <c r="H11" s="30">
        <v>3680.87</v>
      </c>
      <c r="I11" s="30">
        <v>3.3</v>
      </c>
      <c r="J11" s="30">
        <v>0.74</v>
      </c>
      <c r="K11" s="30">
        <v>1.19</v>
      </c>
      <c r="L11" s="30" t="s">
        <v>20</v>
      </c>
      <c r="M11" s="30">
        <v>3745.36</v>
      </c>
      <c r="N11" s="30">
        <v>3840.42</v>
      </c>
      <c r="O11" s="30">
        <v>3570.44</v>
      </c>
      <c r="P11" s="30">
        <v>3992.52</v>
      </c>
      <c r="Q11" s="30">
        <v>4182.6400000000003</v>
      </c>
      <c r="R11" s="30">
        <v>45</v>
      </c>
      <c r="S11" s="30" t="s">
        <v>30</v>
      </c>
      <c r="T11" s="30" t="s">
        <v>121</v>
      </c>
      <c r="U11" s="30"/>
      <c r="V11" s="30">
        <v>30.49</v>
      </c>
      <c r="W11" s="30">
        <v>17.18</v>
      </c>
      <c r="X11" s="30">
        <v>3812</v>
      </c>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row>
    <row r="12" spans="1:132" x14ac:dyDescent="0.2">
      <c r="A12" t="e" vm="11">
        <v>#VALUE!</v>
      </c>
      <c r="B12" s="2">
        <v>46024</v>
      </c>
      <c r="C12" s="30">
        <v>241.46</v>
      </c>
      <c r="D12" s="28" cm="1">
        <f t="array" aca="1" ref="D12" ca="1">_FV(A12,"Price")</f>
        <v>247.17</v>
      </c>
      <c r="E12" s="30">
        <v>0</v>
      </c>
      <c r="F12" s="30">
        <v>52.92</v>
      </c>
      <c r="G12" s="30">
        <v>-0.51</v>
      </c>
      <c r="H12" s="30">
        <v>242.14</v>
      </c>
      <c r="I12" s="30">
        <v>-0.28000000000000003</v>
      </c>
      <c r="J12" s="30">
        <v>1.06</v>
      </c>
      <c r="K12" s="30">
        <v>0.98</v>
      </c>
      <c r="L12" s="30" t="s">
        <v>20</v>
      </c>
      <c r="M12" s="30">
        <v>239.71</v>
      </c>
      <c r="N12" s="30">
        <v>243.87</v>
      </c>
      <c r="O12" s="30">
        <v>231.8</v>
      </c>
      <c r="P12" s="30">
        <v>253.53</v>
      </c>
      <c r="Q12" s="30">
        <v>265.61</v>
      </c>
      <c r="R12" s="30">
        <v>45</v>
      </c>
      <c r="S12" s="30" t="s">
        <v>30</v>
      </c>
      <c r="T12" s="30" t="s">
        <v>122</v>
      </c>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row>
    <row r="13" spans="1:132" x14ac:dyDescent="0.2">
      <c r="A13" t="e" vm="12">
        <v>#VALUE!</v>
      </c>
      <c r="B13" s="2">
        <v>46024</v>
      </c>
      <c r="C13" s="30">
        <v>1235.2</v>
      </c>
      <c r="D13" s="28" cm="1">
        <f t="array" aca="1" ref="D13" ca="1">_FV(A13,"Price")</f>
        <v>1236.9000000000001</v>
      </c>
      <c r="E13" s="30">
        <v>0</v>
      </c>
      <c r="F13" s="30">
        <v>59.58</v>
      </c>
      <c r="G13" s="30">
        <v>9.33</v>
      </c>
      <c r="H13" s="30">
        <v>1157.02</v>
      </c>
      <c r="I13" s="30">
        <v>6.76</v>
      </c>
      <c r="J13" s="30">
        <v>0.76</v>
      </c>
      <c r="K13" s="30">
        <v>1.25</v>
      </c>
      <c r="L13" s="30" t="s">
        <v>33</v>
      </c>
      <c r="M13" s="30">
        <v>1216.67</v>
      </c>
      <c r="N13" s="30">
        <v>1247.55</v>
      </c>
      <c r="O13" s="30">
        <v>1122.31</v>
      </c>
      <c r="P13" s="30">
        <v>1296.96</v>
      </c>
      <c r="Q13" s="30">
        <v>1358.72</v>
      </c>
      <c r="R13" s="30">
        <v>46</v>
      </c>
      <c r="S13" s="30" t="s">
        <v>30</v>
      </c>
      <c r="T13" s="30" t="s">
        <v>123</v>
      </c>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row>
    <row r="14" spans="1:132" s="18" customFormat="1" x14ac:dyDescent="0.2">
      <c r="A14" s="8" t="e" vm="13">
        <v>#VALUE!</v>
      </c>
      <c r="B14" s="9">
        <v>46024</v>
      </c>
      <c r="C14" s="30">
        <v>2856.4</v>
      </c>
      <c r="D14" s="28" cm="1">
        <f t="array" aca="1" ref="D14" ca="1">_FV(A14,"Price")</f>
        <v>2809.6</v>
      </c>
      <c r="E14" s="30">
        <v>0</v>
      </c>
      <c r="F14" s="30">
        <v>56.93</v>
      </c>
      <c r="G14" s="30">
        <v>-2.17</v>
      </c>
      <c r="H14" s="30">
        <v>2794.42</v>
      </c>
      <c r="I14" s="30">
        <v>2.2200000000000002</v>
      </c>
      <c r="J14" s="30">
        <v>1.1100000000000001</v>
      </c>
      <c r="K14" s="30">
        <v>1.41</v>
      </c>
      <c r="L14" s="30" t="s">
        <v>33</v>
      </c>
      <c r="M14" s="30">
        <v>2813.55</v>
      </c>
      <c r="N14" s="30">
        <v>2884.96</v>
      </c>
      <c r="O14" s="30">
        <v>2710.59</v>
      </c>
      <c r="P14" s="30">
        <v>2999.22</v>
      </c>
      <c r="Q14" s="30">
        <v>3142.04</v>
      </c>
      <c r="R14" s="30">
        <v>48</v>
      </c>
      <c r="S14" s="30" t="s">
        <v>30</v>
      </c>
      <c r="T14" s="30" t="s">
        <v>124</v>
      </c>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row>
    <row r="15" spans="1:132" s="18" customFormat="1" x14ac:dyDescent="0.2">
      <c r="A15" s="8" t="e" vm="14">
        <v>#VALUE!</v>
      </c>
      <c r="B15" s="9">
        <v>46024</v>
      </c>
      <c r="C15" s="30">
        <v>16960</v>
      </c>
      <c r="D15" s="28" cm="1">
        <f t="array" aca="1" ref="D15" ca="1">_FV(A15,"Price")</f>
        <v>15859</v>
      </c>
      <c r="E15" s="30">
        <v>0</v>
      </c>
      <c r="F15" s="30">
        <v>73.040000000000006</v>
      </c>
      <c r="G15" s="30">
        <v>-24.21</v>
      </c>
      <c r="H15" s="30">
        <v>16200</v>
      </c>
      <c r="I15" s="30">
        <v>4.6900000000000004</v>
      </c>
      <c r="J15" s="30">
        <v>1.08</v>
      </c>
      <c r="K15" s="30">
        <v>1.24</v>
      </c>
      <c r="L15" s="30" t="s">
        <v>33</v>
      </c>
      <c r="M15" s="30">
        <v>16705.599999999999</v>
      </c>
      <c r="N15" s="30">
        <v>17129.599999999999</v>
      </c>
      <c r="O15" s="30">
        <v>15714</v>
      </c>
      <c r="P15" s="30">
        <v>17808</v>
      </c>
      <c r="Q15" s="30">
        <v>18656</v>
      </c>
      <c r="R15" s="30">
        <v>48</v>
      </c>
      <c r="S15" s="30" t="s">
        <v>30</v>
      </c>
      <c r="T15" s="30" t="s">
        <v>125</v>
      </c>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row>
    <row r="16" spans="1:132" x14ac:dyDescent="0.2">
      <c r="A16" s="20" t="e" vm="15">
        <v>#VALUE!</v>
      </c>
      <c r="B16" s="21">
        <v>46024</v>
      </c>
      <c r="C16" s="30">
        <v>269</v>
      </c>
      <c r="D16" s="28" cm="1">
        <f t="array" aca="1" ref="D16" ca="1">_FV(A16,"Price")</f>
        <v>267.45</v>
      </c>
      <c r="E16" s="30">
        <v>0</v>
      </c>
      <c r="F16" s="30">
        <v>61.75</v>
      </c>
      <c r="G16" s="30">
        <v>3.39</v>
      </c>
      <c r="H16" s="30">
        <v>253.58</v>
      </c>
      <c r="I16" s="30">
        <v>6.08</v>
      </c>
      <c r="J16" s="30">
        <v>0.65</v>
      </c>
      <c r="K16" s="30">
        <v>1.47</v>
      </c>
      <c r="L16" s="30" t="s">
        <v>33</v>
      </c>
      <c r="M16" s="30">
        <v>264.95999999999998</v>
      </c>
      <c r="N16" s="30">
        <v>271.69</v>
      </c>
      <c r="O16" s="30">
        <v>245.97</v>
      </c>
      <c r="P16" s="30">
        <v>282.45</v>
      </c>
      <c r="Q16" s="30">
        <v>295.89999999999998</v>
      </c>
      <c r="R16" s="30">
        <v>50</v>
      </c>
      <c r="S16" s="30" t="s">
        <v>21</v>
      </c>
      <c r="T16" s="30" t="s">
        <v>126</v>
      </c>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row>
    <row r="17" spans="1:132" x14ac:dyDescent="0.2">
      <c r="A17" s="20" t="e" vm="16">
        <v>#VALUE!</v>
      </c>
      <c r="B17" s="21">
        <v>46024</v>
      </c>
      <c r="C17" s="30">
        <v>375.95</v>
      </c>
      <c r="D17" s="28" cm="1">
        <f t="array" aca="1" ref="D17" ca="1">_FV(A17,"Price")</f>
        <v>375.35</v>
      </c>
      <c r="E17" s="30">
        <v>0</v>
      </c>
      <c r="F17" s="30">
        <v>48.51</v>
      </c>
      <c r="G17" s="30">
        <v>-1.93</v>
      </c>
      <c r="H17" s="30">
        <v>364.12</v>
      </c>
      <c r="I17" s="30">
        <v>3.25</v>
      </c>
      <c r="J17" s="30">
        <v>1.54</v>
      </c>
      <c r="K17" s="30">
        <v>3.2</v>
      </c>
      <c r="L17" s="30" t="s">
        <v>25</v>
      </c>
      <c r="M17" s="28">
        <v>370.31</v>
      </c>
      <c r="N17" s="30">
        <v>379.71</v>
      </c>
      <c r="O17" s="30">
        <v>353.19</v>
      </c>
      <c r="P17" s="30">
        <v>394.75</v>
      </c>
      <c r="Q17" s="30">
        <v>413.55</v>
      </c>
      <c r="R17" s="30">
        <v>50</v>
      </c>
      <c r="S17" s="30" t="s">
        <v>30</v>
      </c>
      <c r="T17" s="34" t="s">
        <v>127</v>
      </c>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row>
    <row r="18" spans="1:132" x14ac:dyDescent="0.2">
      <c r="A18" s="8" t="e" vm="17">
        <v>#VALUE!</v>
      </c>
      <c r="B18" s="9">
        <v>46024</v>
      </c>
      <c r="C18" s="30">
        <v>998.95</v>
      </c>
      <c r="D18" s="28" cm="1">
        <f t="array" aca="1" ref="D18" ca="1">_FV(A18,"Price")</f>
        <v>1042.3</v>
      </c>
      <c r="E18" s="30">
        <v>0</v>
      </c>
      <c r="F18" s="30">
        <v>75.03</v>
      </c>
      <c r="G18" s="30">
        <v>4.21</v>
      </c>
      <c r="H18" s="30">
        <v>969.25</v>
      </c>
      <c r="I18" s="30">
        <v>3.06</v>
      </c>
      <c r="J18" s="30">
        <v>0.89</v>
      </c>
      <c r="K18" s="30">
        <v>1.31</v>
      </c>
      <c r="L18" s="30" t="s">
        <v>33</v>
      </c>
      <c r="M18" s="30">
        <v>983.97</v>
      </c>
      <c r="N18" s="30">
        <v>1008.94</v>
      </c>
      <c r="O18" s="30">
        <v>940.17</v>
      </c>
      <c r="P18" s="30">
        <v>1048.9000000000001</v>
      </c>
      <c r="Q18" s="30">
        <v>1098.8499999999999</v>
      </c>
      <c r="R18" s="30">
        <v>53</v>
      </c>
      <c r="S18" s="30" t="s">
        <v>21</v>
      </c>
      <c r="T18" s="30" t="s">
        <v>128</v>
      </c>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row>
    <row r="19" spans="1:132" x14ac:dyDescent="0.2">
      <c r="A19" s="16" t="e" vm="18">
        <v>#VALUE!</v>
      </c>
      <c r="B19" s="17">
        <v>46024</v>
      </c>
      <c r="C19" s="30">
        <v>1367.7</v>
      </c>
      <c r="D19" s="28" cm="1">
        <f t="array" aca="1" ref="D19" ca="1">_FV(A19,"Price")</f>
        <v>1329.1</v>
      </c>
      <c r="E19" s="30">
        <v>0</v>
      </c>
      <c r="F19" s="30">
        <v>49.7</v>
      </c>
      <c r="G19" s="30">
        <v>6.12</v>
      </c>
      <c r="H19" s="30">
        <v>1355.14</v>
      </c>
      <c r="I19" s="30">
        <v>0.93</v>
      </c>
      <c r="J19" s="30">
        <v>0.46</v>
      </c>
      <c r="K19" s="30">
        <v>0.82</v>
      </c>
      <c r="L19" s="30" t="s">
        <v>20</v>
      </c>
      <c r="M19" s="30">
        <v>1347.18</v>
      </c>
      <c r="N19" s="30">
        <v>1381.38</v>
      </c>
      <c r="O19" s="30">
        <v>1312.99</v>
      </c>
      <c r="P19" s="30">
        <v>1436.08</v>
      </c>
      <c r="Q19" s="30">
        <v>1504.47</v>
      </c>
      <c r="R19" s="30">
        <v>53</v>
      </c>
      <c r="S19" s="30" t="s">
        <v>30</v>
      </c>
      <c r="T19" s="30" t="s">
        <v>129</v>
      </c>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row>
    <row r="20" spans="1:132" x14ac:dyDescent="0.2">
      <c r="A20" s="20" t="e" vm="19">
        <v>#VALUE!</v>
      </c>
      <c r="B20" s="21">
        <v>46024</v>
      </c>
      <c r="C20" s="30">
        <v>3847.8</v>
      </c>
      <c r="D20" s="28" cm="1">
        <f t="array" aca="1" ref="D20" ca="1">_FV(A20,"Price")</f>
        <v>3667.8</v>
      </c>
      <c r="E20" s="30">
        <v>0</v>
      </c>
      <c r="F20" s="30">
        <v>72.260000000000005</v>
      </c>
      <c r="G20" s="30">
        <v>0.17</v>
      </c>
      <c r="H20" s="30">
        <v>3579.39</v>
      </c>
      <c r="I20" s="30">
        <v>7.5</v>
      </c>
      <c r="J20" s="30">
        <v>1.1100000000000001</v>
      </c>
      <c r="K20" s="30">
        <v>1.7</v>
      </c>
      <c r="L20" s="30" t="s">
        <v>25</v>
      </c>
      <c r="M20" s="28">
        <v>3790.08</v>
      </c>
      <c r="N20" s="30">
        <v>3886.28</v>
      </c>
      <c r="O20" s="30">
        <v>3472.01</v>
      </c>
      <c r="P20" s="30">
        <v>4040.19</v>
      </c>
      <c r="Q20" s="30">
        <v>4232.58</v>
      </c>
      <c r="R20" s="30">
        <v>53</v>
      </c>
      <c r="S20" s="30" t="s">
        <v>21</v>
      </c>
      <c r="T20" s="30" t="s">
        <v>130</v>
      </c>
      <c r="U20" s="30"/>
      <c r="V20" s="30">
        <v>65.819999999999993</v>
      </c>
      <c r="W20" s="30">
        <v>32</v>
      </c>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row>
    <row r="21" spans="1:132" x14ac:dyDescent="0.2">
      <c r="A21" s="18" t="e" vm="20">
        <v>#VALUE!</v>
      </c>
      <c r="B21" s="19">
        <v>46024</v>
      </c>
      <c r="C21" s="30">
        <v>1430.2</v>
      </c>
      <c r="D21" s="28" cm="1">
        <f t="array" aca="1" ref="D21" ca="1">_FV(A21,"Price")</f>
        <v>1411.4</v>
      </c>
      <c r="E21" s="30">
        <v>0</v>
      </c>
      <c r="F21" s="30">
        <v>56.13</v>
      </c>
      <c r="G21" s="30">
        <v>3.29</v>
      </c>
      <c r="H21" s="30">
        <v>1371.91</v>
      </c>
      <c r="I21" s="30">
        <v>4.25</v>
      </c>
      <c r="J21" s="30">
        <v>0.52</v>
      </c>
      <c r="K21" s="30">
        <v>3</v>
      </c>
      <c r="L21" s="30" t="s">
        <v>25</v>
      </c>
      <c r="M21" s="28">
        <v>1408.75</v>
      </c>
      <c r="N21" s="30">
        <v>1444.5</v>
      </c>
      <c r="O21" s="30">
        <v>1330.75</v>
      </c>
      <c r="P21" s="30">
        <v>1501.71</v>
      </c>
      <c r="Q21" s="30">
        <v>1573.22</v>
      </c>
      <c r="R21" s="30">
        <v>53</v>
      </c>
      <c r="S21" s="30" t="s">
        <v>21</v>
      </c>
      <c r="T21" s="30" t="s">
        <v>131</v>
      </c>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row>
    <row r="22" spans="1:132" x14ac:dyDescent="0.2">
      <c r="A22" t="e" vm="21">
        <v>#VALUE!</v>
      </c>
      <c r="B22" s="2">
        <v>46024</v>
      </c>
      <c r="C22" s="30">
        <v>39420</v>
      </c>
      <c r="D22" s="28" cm="1">
        <f t="array" aca="1" ref="D22" ca="1">_FV(A22,"Price")</f>
        <v>36835</v>
      </c>
      <c r="E22" s="30">
        <v>0</v>
      </c>
      <c r="F22" s="30">
        <v>62.53</v>
      </c>
      <c r="G22" s="30">
        <v>-302.7</v>
      </c>
      <c r="H22" s="30">
        <v>36847</v>
      </c>
      <c r="I22" s="30">
        <v>6.98</v>
      </c>
      <c r="J22" s="30">
        <v>2.61</v>
      </c>
      <c r="K22" s="30">
        <v>4.57</v>
      </c>
      <c r="L22" s="30" t="s">
        <v>25</v>
      </c>
      <c r="M22" s="28">
        <v>38828.699999999997</v>
      </c>
      <c r="N22" s="30">
        <v>39814.199999999997</v>
      </c>
      <c r="O22" s="30">
        <v>35741.589999999997</v>
      </c>
      <c r="P22" s="30">
        <v>41391</v>
      </c>
      <c r="Q22" s="30">
        <v>43362</v>
      </c>
      <c r="R22" s="30">
        <v>55</v>
      </c>
      <c r="S22" s="30" t="s">
        <v>30</v>
      </c>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row>
    <row r="23" spans="1:132" s="8" customFormat="1" x14ac:dyDescent="0.2">
      <c r="A23" s="8" t="e" vm="22">
        <v>#VALUE!</v>
      </c>
      <c r="B23" s="9">
        <v>46024</v>
      </c>
      <c r="C23" s="30">
        <v>1279.7</v>
      </c>
      <c r="D23" s="28" cm="1">
        <f t="array" aca="1" ref="D23" ca="1">_FV(A23,"Price")</f>
        <v>1315.9</v>
      </c>
      <c r="E23" s="30">
        <v>0</v>
      </c>
      <c r="F23" s="30">
        <v>59.93</v>
      </c>
      <c r="G23" s="30">
        <v>1.1000000000000001</v>
      </c>
      <c r="H23" s="30">
        <v>1262.96</v>
      </c>
      <c r="I23" s="30">
        <v>1.33</v>
      </c>
      <c r="J23" s="30">
        <v>0.94</v>
      </c>
      <c r="K23" s="30">
        <v>0.83</v>
      </c>
      <c r="L23" s="30" t="s">
        <v>20</v>
      </c>
      <c r="M23" s="30">
        <v>1260.5</v>
      </c>
      <c r="N23" s="30">
        <v>1292.5</v>
      </c>
      <c r="O23" s="30">
        <v>1225.07</v>
      </c>
      <c r="P23" s="30">
        <v>1343.68</v>
      </c>
      <c r="Q23" s="30">
        <v>1407.67</v>
      </c>
      <c r="R23" s="30">
        <v>58</v>
      </c>
      <c r="S23" s="30" t="s">
        <v>21</v>
      </c>
      <c r="T23" s="30" t="s">
        <v>135</v>
      </c>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row>
    <row r="24" spans="1:132" x14ac:dyDescent="0.2">
      <c r="A24" t="e" vm="23">
        <v>#VALUE!</v>
      </c>
      <c r="B24" s="2">
        <v>46024</v>
      </c>
      <c r="C24" s="30">
        <v>678.3</v>
      </c>
      <c r="D24" s="28" cm="1">
        <f t="array" aca="1" ref="D24" ca="1">_FV(A24,"Price")</f>
        <v>678</v>
      </c>
      <c r="E24" s="30">
        <v>0</v>
      </c>
      <c r="F24" s="30">
        <v>66.38</v>
      </c>
      <c r="G24" s="30">
        <v>7.62</v>
      </c>
      <c r="H24" s="30">
        <v>631.89</v>
      </c>
      <c r="I24" s="30">
        <v>7.35</v>
      </c>
      <c r="J24" s="30">
        <v>0.81</v>
      </c>
      <c r="K24" s="30">
        <v>0.5</v>
      </c>
      <c r="L24" s="30" t="s">
        <v>20</v>
      </c>
      <c r="M24" s="30">
        <v>668.13</v>
      </c>
      <c r="N24" s="30">
        <v>685.08</v>
      </c>
      <c r="O24" s="30">
        <v>612.92999999999995</v>
      </c>
      <c r="P24" s="30">
        <v>712.21</v>
      </c>
      <c r="Q24" s="30">
        <v>746.13</v>
      </c>
      <c r="R24" s="30">
        <v>58</v>
      </c>
      <c r="S24" s="30" t="s">
        <v>21</v>
      </c>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row>
    <row r="25" spans="1:132" ht="16" x14ac:dyDescent="0.2">
      <c r="A25" s="22" t="e" vm="24">
        <v>#VALUE!</v>
      </c>
      <c r="B25" s="23">
        <v>46024</v>
      </c>
      <c r="C25" s="31">
        <v>5205.5</v>
      </c>
      <c r="D25" s="28" cm="1">
        <f t="array" aca="1" ref="D25" ca="1">_FV(A25,"Price")</f>
        <v>4872.5</v>
      </c>
      <c r="E25" s="31">
        <v>0</v>
      </c>
      <c r="F25" s="31">
        <v>46.33</v>
      </c>
      <c r="G25" s="31">
        <v>36.81</v>
      </c>
      <c r="H25" s="31">
        <v>5147.3</v>
      </c>
      <c r="I25" s="31">
        <v>1.1299999999999999</v>
      </c>
      <c r="J25" s="31">
        <v>0.36</v>
      </c>
      <c r="K25" s="31">
        <v>0.63</v>
      </c>
      <c r="L25" s="31" t="s">
        <v>20</v>
      </c>
      <c r="M25" s="31">
        <v>5127.42</v>
      </c>
      <c r="N25" s="31">
        <v>5257.56</v>
      </c>
      <c r="O25" s="31">
        <v>4992.88</v>
      </c>
      <c r="P25" s="31">
        <v>5465.78</v>
      </c>
      <c r="Q25" s="31">
        <v>5726.05</v>
      </c>
      <c r="R25" s="31">
        <v>60</v>
      </c>
      <c r="S25" s="31" t="s">
        <v>30</v>
      </c>
      <c r="T25" s="31" t="s">
        <v>136</v>
      </c>
      <c r="U25" s="31"/>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row>
    <row r="26" spans="1:132" s="24" customFormat="1" ht="16" x14ac:dyDescent="0.2">
      <c r="A26" s="24" t="e" vm="25">
        <v>#VALUE!</v>
      </c>
      <c r="B26" s="25">
        <v>46024</v>
      </c>
      <c r="C26" s="32">
        <v>757.75</v>
      </c>
      <c r="D26" s="28" cm="1">
        <f t="array" aca="1" ref="D26" ca="1">_FV(A26,"Price")</f>
        <v>760.15</v>
      </c>
      <c r="E26" s="32">
        <v>0</v>
      </c>
      <c r="F26" s="32">
        <v>61.18</v>
      </c>
      <c r="G26" s="32">
        <v>1.06</v>
      </c>
      <c r="H26" s="32">
        <v>733.35</v>
      </c>
      <c r="I26" s="32">
        <v>3.33</v>
      </c>
      <c r="J26" s="32">
        <v>0.85</v>
      </c>
      <c r="K26" s="32">
        <v>0.77</v>
      </c>
      <c r="L26" s="32" t="s">
        <v>20</v>
      </c>
      <c r="M26" s="32">
        <v>746.38</v>
      </c>
      <c r="N26" s="32">
        <v>765.33</v>
      </c>
      <c r="O26" s="32">
        <v>711.35</v>
      </c>
      <c r="P26" s="32">
        <v>795.64</v>
      </c>
      <c r="Q26" s="32">
        <v>833.53</v>
      </c>
      <c r="R26" s="32">
        <v>60</v>
      </c>
      <c r="S26" s="32" t="s">
        <v>21</v>
      </c>
      <c r="T26" s="32" t="s">
        <v>137</v>
      </c>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row>
    <row r="27" spans="1:132" ht="16" x14ac:dyDescent="0.2">
      <c r="A27" s="22" t="e" vm="26">
        <v>#VALUE!</v>
      </c>
      <c r="B27" s="23">
        <v>46024</v>
      </c>
      <c r="C27" s="31">
        <v>380.65</v>
      </c>
      <c r="D27" s="28" cm="1">
        <f t="array" aca="1" ref="D27" ca="1">_FV(A27,"Price")</f>
        <v>371</v>
      </c>
      <c r="E27" s="31">
        <v>0</v>
      </c>
      <c r="F27" s="31">
        <v>53.79</v>
      </c>
      <c r="G27" s="31">
        <v>2.06</v>
      </c>
      <c r="H27" s="31">
        <v>359.16</v>
      </c>
      <c r="I27" s="31">
        <v>5.98</v>
      </c>
      <c r="J27" s="31">
        <v>2.02</v>
      </c>
      <c r="K27" s="31">
        <v>3.23</v>
      </c>
      <c r="L27" s="31" t="s">
        <v>25</v>
      </c>
      <c r="M27" s="35">
        <v>374.94</v>
      </c>
      <c r="N27" s="31">
        <v>384.46</v>
      </c>
      <c r="O27" s="31">
        <v>348.39</v>
      </c>
      <c r="P27" s="31">
        <v>399.68</v>
      </c>
      <c r="Q27" s="31">
        <v>418.71</v>
      </c>
      <c r="R27" s="31">
        <v>60</v>
      </c>
      <c r="S27" s="31" t="s">
        <v>30</v>
      </c>
      <c r="T27" s="31" t="s">
        <v>134</v>
      </c>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row>
    <row r="28" spans="1:132" x14ac:dyDescent="0.2">
      <c r="A28" t="e" vm="27">
        <v>#VALUE!</v>
      </c>
      <c r="B28" s="2">
        <v>46024</v>
      </c>
      <c r="C28" s="30">
        <v>616.95000000000005</v>
      </c>
      <c r="D28" s="28" cm="1">
        <f t="array" aca="1" ref="D28" ca="1">_FV(A28,"Price")</f>
        <v>682.7</v>
      </c>
      <c r="E28" s="30">
        <v>0</v>
      </c>
      <c r="F28" s="30">
        <v>78.12</v>
      </c>
      <c r="G28" s="30">
        <v>11.73</v>
      </c>
      <c r="H28" s="30">
        <v>542.39</v>
      </c>
      <c r="I28" s="30">
        <v>13.75</v>
      </c>
      <c r="J28" s="30">
        <v>1.1599999999999999</v>
      </c>
      <c r="K28" s="30">
        <v>0.81</v>
      </c>
      <c r="L28" s="30" t="s">
        <v>20</v>
      </c>
      <c r="M28" s="30">
        <v>607.70000000000005</v>
      </c>
      <c r="N28" s="30">
        <v>623.12</v>
      </c>
      <c r="O28" s="30">
        <v>526.12</v>
      </c>
      <c r="P28" s="30">
        <v>647.79999999999995</v>
      </c>
      <c r="Q28" s="30">
        <v>678.65</v>
      </c>
      <c r="R28" s="30">
        <v>61</v>
      </c>
      <c r="S28" s="30" t="s">
        <v>21</v>
      </c>
      <c r="T28" s="30" t="s">
        <v>123</v>
      </c>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row>
    <row r="29" spans="1:132" x14ac:dyDescent="0.2">
      <c r="A29" t="e" vm="28">
        <v>#VALUE!</v>
      </c>
      <c r="B29" s="2">
        <v>46024</v>
      </c>
      <c r="C29" s="30">
        <v>381.45</v>
      </c>
      <c r="D29" s="28" cm="1">
        <f t="array" aca="1" ref="D29" ca="1">_FV(A29,"Price")</f>
        <v>363.2</v>
      </c>
      <c r="E29" s="30">
        <v>0</v>
      </c>
      <c r="F29" s="30">
        <v>72.91</v>
      </c>
      <c r="G29" s="30">
        <v>1.99</v>
      </c>
      <c r="H29" s="30">
        <v>365.02</v>
      </c>
      <c r="I29" s="30">
        <v>4.5</v>
      </c>
      <c r="J29" s="30">
        <v>1.08</v>
      </c>
      <c r="K29" s="30">
        <v>0.75</v>
      </c>
      <c r="L29" s="30" t="s">
        <v>20</v>
      </c>
      <c r="M29" s="30">
        <v>375.73</v>
      </c>
      <c r="N29" s="30">
        <v>385.26</v>
      </c>
      <c r="O29" s="30">
        <v>354.07</v>
      </c>
      <c r="P29" s="30">
        <v>400.52</v>
      </c>
      <c r="Q29" s="30">
        <v>419.6</v>
      </c>
      <c r="R29" s="30">
        <v>63</v>
      </c>
      <c r="S29" s="30" t="s">
        <v>21</v>
      </c>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row>
    <row r="30" spans="1:132" x14ac:dyDescent="0.2">
      <c r="A30" t="e" vm="29">
        <v>#VALUE!</v>
      </c>
      <c r="B30" s="2">
        <v>46024</v>
      </c>
      <c r="C30" s="30">
        <v>427.9</v>
      </c>
      <c r="D30" s="28" cm="1">
        <f t="array" aca="1" ref="D30" ca="1">_FV(A30,"Price")</f>
        <v>431</v>
      </c>
      <c r="E30" s="30">
        <v>0</v>
      </c>
      <c r="F30" s="30">
        <v>72.900000000000006</v>
      </c>
      <c r="G30" s="30">
        <v>4.08</v>
      </c>
      <c r="H30" s="30">
        <v>387.46</v>
      </c>
      <c r="I30" s="30">
        <v>10.44</v>
      </c>
      <c r="J30" s="30">
        <v>1.96</v>
      </c>
      <c r="K30" s="30">
        <v>3.58</v>
      </c>
      <c r="L30" s="36" t="s">
        <v>25</v>
      </c>
      <c r="M30" s="28">
        <v>421.48</v>
      </c>
      <c r="N30" s="30">
        <v>432.18</v>
      </c>
      <c r="O30" s="30">
        <v>375.84</v>
      </c>
      <c r="P30" s="30">
        <v>449.29</v>
      </c>
      <c r="Q30" s="30">
        <v>470.69</v>
      </c>
      <c r="R30" s="30">
        <v>63</v>
      </c>
      <c r="S30" s="30" t="s">
        <v>21</v>
      </c>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row>
    <row r="31" spans="1:132" x14ac:dyDescent="0.2">
      <c r="A31" t="e" vm="30">
        <v>#VALUE!</v>
      </c>
      <c r="B31" s="2">
        <v>46024</v>
      </c>
      <c r="C31" s="30">
        <v>305.05</v>
      </c>
      <c r="D31" s="28" cm="1">
        <f t="array" aca="1" ref="D31" ca="1">_FV(A31,"Price")</f>
        <v>308.25</v>
      </c>
      <c r="E31" s="30">
        <v>0</v>
      </c>
      <c r="F31" s="30">
        <v>71.14</v>
      </c>
      <c r="G31" s="30">
        <v>1.86</v>
      </c>
      <c r="H31" s="30">
        <v>289.05</v>
      </c>
      <c r="I31" s="30">
        <v>5.54</v>
      </c>
      <c r="J31" s="30">
        <v>1.07</v>
      </c>
      <c r="K31" s="30">
        <v>1.68</v>
      </c>
      <c r="L31" s="30" t="s">
        <v>25</v>
      </c>
      <c r="M31" s="28">
        <v>300.47000000000003</v>
      </c>
      <c r="N31" s="30">
        <v>308.10000000000002</v>
      </c>
      <c r="O31" s="30">
        <v>280.38</v>
      </c>
      <c r="P31" s="30">
        <v>320.3</v>
      </c>
      <c r="Q31" s="30">
        <v>335.55</v>
      </c>
      <c r="R31" s="30">
        <v>63</v>
      </c>
      <c r="S31" s="30" t="s">
        <v>21</v>
      </c>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row>
    <row r="32" spans="1:132" x14ac:dyDescent="0.2">
      <c r="A32" t="e" vm="31">
        <v>#VALUE!</v>
      </c>
      <c r="B32" s="2">
        <v>46024</v>
      </c>
      <c r="C32" s="30">
        <v>1266.9000000000001</v>
      </c>
      <c r="D32" s="28" cm="1">
        <f t="array" aca="1" ref="D32" ca="1">_FV(A32,"Price")</f>
        <v>1294.2</v>
      </c>
      <c r="E32" s="30">
        <v>0</v>
      </c>
      <c r="F32" s="30">
        <v>62.08</v>
      </c>
      <c r="G32" s="30">
        <v>3.17</v>
      </c>
      <c r="H32" s="30">
        <v>1254.7</v>
      </c>
      <c r="I32" s="30">
        <v>0.97</v>
      </c>
      <c r="J32" s="30">
        <v>0.69</v>
      </c>
      <c r="K32" s="30">
        <v>1.98</v>
      </c>
      <c r="L32" s="30" t="s">
        <v>25</v>
      </c>
      <c r="M32" s="28">
        <v>1247.9000000000001</v>
      </c>
      <c r="N32" s="30">
        <v>1279.57</v>
      </c>
      <c r="O32" s="30">
        <v>1216.22</v>
      </c>
      <c r="P32" s="30">
        <v>1330.25</v>
      </c>
      <c r="Q32" s="30">
        <v>1393.59</v>
      </c>
      <c r="R32" s="30">
        <v>65</v>
      </c>
      <c r="S32" s="30" t="s">
        <v>21</v>
      </c>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row>
    <row r="33" spans="1:132" x14ac:dyDescent="0.2">
      <c r="A33" t="e" vm="32">
        <v>#VALUE!</v>
      </c>
      <c r="B33" s="2">
        <v>46024</v>
      </c>
      <c r="C33" s="30">
        <v>2106.3000000000002</v>
      </c>
      <c r="D33" s="28" cm="1">
        <f t="array" aca="1" ref="D33" ca="1">_FV(A33,"Price")</f>
        <v>2016.4</v>
      </c>
      <c r="E33" s="30">
        <v>0</v>
      </c>
      <c r="F33" s="30">
        <v>62.37</v>
      </c>
      <c r="G33" s="30">
        <v>0.56999999999999995</v>
      </c>
      <c r="H33" s="30">
        <v>2092.23</v>
      </c>
      <c r="I33" s="30">
        <v>0.67</v>
      </c>
      <c r="J33" s="30">
        <v>0.57999999999999996</v>
      </c>
      <c r="K33" s="30">
        <v>0.87</v>
      </c>
      <c r="L33" s="30" t="s">
        <v>20</v>
      </c>
      <c r="M33" s="30">
        <v>2074.71</v>
      </c>
      <c r="N33" s="30">
        <v>2127.36</v>
      </c>
      <c r="O33" s="30">
        <v>2022.05</v>
      </c>
      <c r="P33" s="30">
        <v>2211.62</v>
      </c>
      <c r="Q33" s="30">
        <v>2316.9299999999998</v>
      </c>
      <c r="R33" s="30">
        <v>65</v>
      </c>
      <c r="S33" s="30" t="s">
        <v>21</v>
      </c>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row>
    <row r="34" spans="1:132" x14ac:dyDescent="0.2">
      <c r="A34" t="e" vm="33">
        <v>#VALUE!</v>
      </c>
      <c r="B34" s="2">
        <v>46024</v>
      </c>
      <c r="C34" s="30">
        <v>1180.7</v>
      </c>
      <c r="D34" s="28" cm="1">
        <f t="array" aca="1" ref="D34" ca="1">_FV(A34,"Price")</f>
        <v>1187.3</v>
      </c>
      <c r="E34" s="30">
        <v>0</v>
      </c>
      <c r="F34" s="30">
        <v>60.29</v>
      </c>
      <c r="G34" s="30">
        <v>-7.14</v>
      </c>
      <c r="H34" s="30">
        <v>1148.8499999999999</v>
      </c>
      <c r="I34" s="30">
        <v>2.77</v>
      </c>
      <c r="J34" s="30">
        <v>1.64</v>
      </c>
      <c r="K34" s="30">
        <v>0.54</v>
      </c>
      <c r="L34" s="30" t="s">
        <v>20</v>
      </c>
      <c r="M34" s="30">
        <v>1162.99</v>
      </c>
      <c r="N34" s="30">
        <v>1192.51</v>
      </c>
      <c r="O34" s="30">
        <v>1114.3800000000001</v>
      </c>
      <c r="P34" s="30">
        <v>1239.73</v>
      </c>
      <c r="Q34" s="30">
        <v>1298.77</v>
      </c>
      <c r="R34" s="30">
        <v>65</v>
      </c>
      <c r="S34" s="30" t="s">
        <v>30</v>
      </c>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row>
    <row r="35" spans="1:132" s="20" customFormat="1" x14ac:dyDescent="0.2">
      <c r="A35" s="20" t="e" vm="34">
        <v>#VALUE!</v>
      </c>
      <c r="B35" s="21">
        <v>46024</v>
      </c>
      <c r="C35" s="30">
        <v>352.1</v>
      </c>
      <c r="D35" s="28" cm="1">
        <f t="array" aca="1" ref="D35" ca="1">_FV(A35,"Price")</f>
        <v>346.35</v>
      </c>
      <c r="E35" s="30">
        <v>0</v>
      </c>
      <c r="F35" s="30">
        <v>63.78</v>
      </c>
      <c r="G35" s="30">
        <v>1.07</v>
      </c>
      <c r="H35" s="30">
        <v>328.62</v>
      </c>
      <c r="I35" s="30">
        <v>7.14</v>
      </c>
      <c r="J35" s="30">
        <v>1.57</v>
      </c>
      <c r="K35" s="30">
        <v>2.6</v>
      </c>
      <c r="L35" s="36" t="s">
        <v>25</v>
      </c>
      <c r="M35" s="28">
        <v>346.82</v>
      </c>
      <c r="N35" s="30">
        <v>355.62</v>
      </c>
      <c r="O35" s="30">
        <v>318.76</v>
      </c>
      <c r="P35" s="30">
        <v>369.71</v>
      </c>
      <c r="Q35" s="30">
        <v>387.31</v>
      </c>
      <c r="R35" s="30">
        <v>65</v>
      </c>
      <c r="S35" s="30" t="s">
        <v>30</v>
      </c>
      <c r="T35" s="30" t="s">
        <v>132</v>
      </c>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row>
    <row r="36" spans="1:132" s="22" customFormat="1" ht="16" x14ac:dyDescent="0.2">
      <c r="A36" s="22" t="e" vm="35">
        <v>#VALUE!</v>
      </c>
      <c r="B36" s="23">
        <v>46024</v>
      </c>
      <c r="C36" s="31">
        <v>182.88</v>
      </c>
      <c r="D36" s="28" cm="1">
        <f t="array" aca="1" ref="D36" ca="1">_FV(A36,"Price")</f>
        <v>188.21</v>
      </c>
      <c r="E36" s="31">
        <v>0</v>
      </c>
      <c r="F36" s="31">
        <v>63.79</v>
      </c>
      <c r="G36" s="31">
        <v>-0.5</v>
      </c>
      <c r="H36" s="31">
        <v>173.41</v>
      </c>
      <c r="I36" s="31">
        <v>5.46</v>
      </c>
      <c r="J36" s="31">
        <v>1.52</v>
      </c>
      <c r="K36" s="31">
        <v>0.91</v>
      </c>
      <c r="L36" s="31" t="s">
        <v>20</v>
      </c>
      <c r="M36" s="31">
        <v>180.14</v>
      </c>
      <c r="N36" s="31">
        <v>184.71</v>
      </c>
      <c r="O36" s="31">
        <v>168.21</v>
      </c>
      <c r="P36" s="31">
        <v>192.02</v>
      </c>
      <c r="Q36" s="31">
        <v>201.17</v>
      </c>
      <c r="R36" s="31">
        <v>65</v>
      </c>
      <c r="S36" s="31" t="s">
        <v>30</v>
      </c>
      <c r="T36" s="31" t="s">
        <v>140</v>
      </c>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row>
    <row r="37" spans="1:132" s="26" customFormat="1" ht="16" x14ac:dyDescent="0.2">
      <c r="A37" s="26" t="e" vm="36">
        <v>#VALUE!</v>
      </c>
      <c r="B37" s="27">
        <v>46024</v>
      </c>
      <c r="C37" s="32">
        <v>694.85</v>
      </c>
      <c r="D37" s="28" cm="1">
        <f t="array" aca="1" ref="D37" ca="1">_FV(A37,"Price")</f>
        <v>627.65</v>
      </c>
      <c r="E37" s="32">
        <v>0</v>
      </c>
      <c r="F37" s="32">
        <v>45.38</v>
      </c>
      <c r="G37" s="32">
        <v>1.1499999999999999</v>
      </c>
      <c r="H37" s="32">
        <v>691.39</v>
      </c>
      <c r="I37" s="32">
        <v>0.5</v>
      </c>
      <c r="J37" s="32">
        <v>1.81</v>
      </c>
      <c r="K37" s="32">
        <v>0.84</v>
      </c>
      <c r="L37" s="32" t="s">
        <v>20</v>
      </c>
      <c r="M37" s="32">
        <v>684.48</v>
      </c>
      <c r="N37" s="32">
        <v>701.8</v>
      </c>
      <c r="O37" s="32">
        <v>667.06</v>
      </c>
      <c r="P37" s="32">
        <v>729.59</v>
      </c>
      <c r="Q37" s="32">
        <v>764.33</v>
      </c>
      <c r="R37" s="32">
        <v>65</v>
      </c>
      <c r="S37" s="32" t="s">
        <v>30</v>
      </c>
      <c r="T37" s="32" t="s">
        <v>141</v>
      </c>
      <c r="U37" s="32"/>
      <c r="V37" s="32">
        <v>40</v>
      </c>
      <c r="W37" s="32">
        <v>32</v>
      </c>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row>
    <row r="38" spans="1:132" s="22" customFormat="1" ht="16" x14ac:dyDescent="0.2">
      <c r="A38" s="22" t="e" vm="37">
        <v>#VALUE!</v>
      </c>
      <c r="B38" s="23">
        <v>46024</v>
      </c>
      <c r="C38" s="31">
        <v>1640.2</v>
      </c>
      <c r="D38" s="28" cm="1">
        <f t="array" aca="1" ref="D38" ca="1">_FV(A38,"Price")</f>
        <v>1698</v>
      </c>
      <c r="E38" s="31">
        <v>0</v>
      </c>
      <c r="F38" s="31">
        <v>58.05</v>
      </c>
      <c r="G38" s="31">
        <v>19.97</v>
      </c>
      <c r="H38" s="31">
        <v>1618.04</v>
      </c>
      <c r="I38" s="31">
        <v>1.37</v>
      </c>
      <c r="J38" s="31">
        <v>0.67</v>
      </c>
      <c r="K38" s="31">
        <v>0.74</v>
      </c>
      <c r="L38" s="31" t="s">
        <v>20</v>
      </c>
      <c r="M38" s="31">
        <v>1615.6</v>
      </c>
      <c r="N38" s="31">
        <v>1656.6</v>
      </c>
      <c r="O38" s="31">
        <v>1569.5</v>
      </c>
      <c r="P38" s="31">
        <v>1722.21</v>
      </c>
      <c r="Q38" s="31">
        <v>1804.22</v>
      </c>
      <c r="R38" s="31">
        <v>66</v>
      </c>
      <c r="S38" s="31" t="s">
        <v>21</v>
      </c>
      <c r="T38" s="31" t="s">
        <v>139</v>
      </c>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row>
    <row r="39" spans="1:132" x14ac:dyDescent="0.2">
      <c r="A39" t="e" vm="38">
        <v>#VALUE!</v>
      </c>
      <c r="B39" s="2">
        <v>46024</v>
      </c>
      <c r="C39" s="30">
        <v>925.7</v>
      </c>
      <c r="D39" s="28" cm="1">
        <f t="array" aca="1" ref="D39" ca="1">_FV(A39,"Price")</f>
        <v>934.65</v>
      </c>
      <c r="E39" s="30">
        <v>0</v>
      </c>
      <c r="F39" s="30">
        <v>74.77</v>
      </c>
      <c r="G39" s="30">
        <v>8.43</v>
      </c>
      <c r="H39" s="30">
        <v>835.4</v>
      </c>
      <c r="I39" s="30">
        <v>10.81</v>
      </c>
      <c r="J39" s="30">
        <v>1.47</v>
      </c>
      <c r="K39" s="30">
        <v>1.01</v>
      </c>
      <c r="L39" s="30" t="s">
        <v>20</v>
      </c>
      <c r="M39" s="30">
        <v>911.81</v>
      </c>
      <c r="N39" s="30">
        <v>934.96</v>
      </c>
      <c r="O39" s="30">
        <v>810.33</v>
      </c>
      <c r="P39" s="30">
        <v>971.99</v>
      </c>
      <c r="Q39" s="30">
        <v>1018.27</v>
      </c>
      <c r="R39" s="30">
        <v>66</v>
      </c>
      <c r="S39" s="30" t="s">
        <v>21</v>
      </c>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row>
    <row r="40" spans="1:132" x14ac:dyDescent="0.2">
      <c r="A40" t="e" vm="39">
        <v>#VALUE!</v>
      </c>
      <c r="B40" s="2">
        <v>46024</v>
      </c>
      <c r="C40" s="30">
        <v>1215.4000000000001</v>
      </c>
      <c r="D40" s="28" cm="1">
        <f t="array" aca="1" ref="D40" ca="1">_FV(A40,"Price")</f>
        <v>1172.7</v>
      </c>
      <c r="E40" s="30">
        <v>0</v>
      </c>
      <c r="F40" s="30">
        <v>57.21</v>
      </c>
      <c r="G40" s="30">
        <v>11.57</v>
      </c>
      <c r="H40" s="30">
        <v>1197.72</v>
      </c>
      <c r="I40" s="30">
        <v>1.48</v>
      </c>
      <c r="J40" s="30">
        <v>0.74</v>
      </c>
      <c r="K40" s="30">
        <v>0.7</v>
      </c>
      <c r="L40" s="30" t="s">
        <v>20</v>
      </c>
      <c r="M40" s="30">
        <v>1197.17</v>
      </c>
      <c r="N40" s="30">
        <v>1227.55</v>
      </c>
      <c r="O40" s="30">
        <v>1161.79</v>
      </c>
      <c r="P40" s="30">
        <v>1276.17</v>
      </c>
      <c r="Q40" s="30">
        <v>1336.94</v>
      </c>
      <c r="R40" s="30">
        <v>66</v>
      </c>
      <c r="S40" s="30" t="s">
        <v>21</v>
      </c>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row>
    <row r="41" spans="1:132" ht="16" x14ac:dyDescent="0.2">
      <c r="A41" s="22" t="e" vm="40">
        <v>#VALUE!</v>
      </c>
      <c r="B41" s="23">
        <v>46024</v>
      </c>
      <c r="C41" s="31">
        <v>2105.3000000000002</v>
      </c>
      <c r="D41" s="28" cm="1">
        <f t="array" aca="1" ref="D41" ca="1">_FV(A41,"Price")</f>
        <v>2177.9</v>
      </c>
      <c r="E41" s="31">
        <v>0</v>
      </c>
      <c r="F41" s="31">
        <v>58.71</v>
      </c>
      <c r="G41" s="31">
        <v>15.72</v>
      </c>
      <c r="H41" s="31">
        <v>2065.84</v>
      </c>
      <c r="I41" s="31">
        <v>1.91</v>
      </c>
      <c r="J41" s="31">
        <v>0.86</v>
      </c>
      <c r="K41" s="31">
        <v>0.44</v>
      </c>
      <c r="L41" s="31" t="s">
        <v>20</v>
      </c>
      <c r="M41" s="31">
        <v>2073.7199999999998</v>
      </c>
      <c r="N41" s="31">
        <v>2126.35</v>
      </c>
      <c r="O41" s="31">
        <v>2003.86</v>
      </c>
      <c r="P41" s="31">
        <v>2210.5700000000002</v>
      </c>
      <c r="Q41" s="31">
        <v>2315.83</v>
      </c>
      <c r="R41" s="31">
        <v>66</v>
      </c>
      <c r="S41" s="31" t="s">
        <v>21</v>
      </c>
      <c r="T41" s="30" t="s">
        <v>138</v>
      </c>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row>
    <row r="42" spans="1:132" x14ac:dyDescent="0.2">
      <c r="A42" t="e" vm="41">
        <v>#VALUE!</v>
      </c>
      <c r="B42" s="2">
        <v>46024</v>
      </c>
      <c r="C42" s="30">
        <v>902.45</v>
      </c>
      <c r="D42" s="28" cm="1">
        <f t="array" aca="1" ref="D42" ca="1">_FV(A42,"Price")</f>
        <v>953.85</v>
      </c>
      <c r="E42" s="30">
        <v>0</v>
      </c>
      <c r="F42" s="30">
        <v>63.89</v>
      </c>
      <c r="G42" s="30">
        <v>15.58</v>
      </c>
      <c r="H42" s="30">
        <v>845.86</v>
      </c>
      <c r="I42" s="30">
        <v>6.69</v>
      </c>
      <c r="J42" s="30">
        <v>1.07</v>
      </c>
      <c r="K42" s="30">
        <v>2.09</v>
      </c>
      <c r="L42" s="30" t="s">
        <v>25</v>
      </c>
      <c r="M42" s="28">
        <v>888.91</v>
      </c>
      <c r="N42" s="30">
        <v>911.47</v>
      </c>
      <c r="O42" s="30">
        <v>820.49</v>
      </c>
      <c r="P42" s="30">
        <v>947.57</v>
      </c>
      <c r="Q42" s="30">
        <v>992.7</v>
      </c>
      <c r="R42" s="30">
        <v>68</v>
      </c>
      <c r="S42" s="30" t="s">
        <v>21</v>
      </c>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row>
    <row r="43" spans="1:132" x14ac:dyDescent="0.2">
      <c r="A43" t="e" vm="42">
        <v>#VALUE!</v>
      </c>
      <c r="B43" s="2">
        <v>46024</v>
      </c>
      <c r="C43" s="30">
        <v>2195.1</v>
      </c>
      <c r="D43" s="28" cm="1">
        <f t="array" aca="1" ref="D43" ca="1">_FV(A43,"Price")</f>
        <v>418.2</v>
      </c>
      <c r="E43" s="30">
        <v>0</v>
      </c>
      <c r="F43" s="30">
        <v>60.38</v>
      </c>
      <c r="G43" s="30">
        <v>7.33</v>
      </c>
      <c r="H43" s="30">
        <v>2133.27</v>
      </c>
      <c r="I43" s="30">
        <v>2.9</v>
      </c>
      <c r="J43" s="30">
        <v>0.9</v>
      </c>
      <c r="K43" s="30">
        <v>1.29</v>
      </c>
      <c r="L43" s="30" t="s">
        <v>33</v>
      </c>
      <c r="M43" s="30">
        <v>2162.17</v>
      </c>
      <c r="N43" s="30">
        <v>2217.0500000000002</v>
      </c>
      <c r="O43" s="30">
        <v>2069.27</v>
      </c>
      <c r="P43" s="30">
        <v>2304.86</v>
      </c>
      <c r="Q43" s="30">
        <v>2414.61</v>
      </c>
      <c r="R43" s="30">
        <v>68</v>
      </c>
      <c r="S43" s="30" t="s">
        <v>21</v>
      </c>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row>
    <row r="44" spans="1:132" x14ac:dyDescent="0.2">
      <c r="A44" t="e" vm="43">
        <v>#VALUE!</v>
      </c>
      <c r="B44" s="2">
        <v>46024</v>
      </c>
      <c r="C44" s="30">
        <v>4163.3999999999996</v>
      </c>
      <c r="D44" s="28" cm="1">
        <f t="array" aca="1" ref="D44" ca="1">_FV(A44,"Price")</f>
        <v>3856.4</v>
      </c>
      <c r="E44" s="30">
        <v>0</v>
      </c>
      <c r="F44" s="30">
        <v>69.349999999999994</v>
      </c>
      <c r="G44" s="30">
        <v>15.51</v>
      </c>
      <c r="H44" s="30">
        <v>4040.88</v>
      </c>
      <c r="I44" s="30">
        <v>3.03</v>
      </c>
      <c r="J44" s="30">
        <v>0.77</v>
      </c>
      <c r="K44" s="30">
        <v>0.98</v>
      </c>
      <c r="L44" s="30" t="s">
        <v>20</v>
      </c>
      <c r="M44" s="30">
        <v>4100.95</v>
      </c>
      <c r="N44" s="30">
        <v>4205.03</v>
      </c>
      <c r="O44" s="30">
        <v>3919.65</v>
      </c>
      <c r="P44" s="30">
        <v>4371.57</v>
      </c>
      <c r="Q44" s="30">
        <v>4579.74</v>
      </c>
      <c r="R44" s="30">
        <v>68</v>
      </c>
      <c r="S44" s="30" t="s">
        <v>21</v>
      </c>
      <c r="T44" s="30" t="s">
        <v>123</v>
      </c>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row>
    <row r="45" spans="1:132" x14ac:dyDescent="0.2">
      <c r="A45" t="e" vm="44">
        <v>#VALUE!</v>
      </c>
      <c r="B45" s="2">
        <v>46024</v>
      </c>
      <c r="C45" s="30">
        <v>1592.3</v>
      </c>
      <c r="D45" s="28" cm="1">
        <f t="array" aca="1" ref="D45" ca="1">_FV(A45,"Price")</f>
        <v>1457.9</v>
      </c>
      <c r="E45" s="30">
        <v>0</v>
      </c>
      <c r="F45" s="30">
        <v>68.42</v>
      </c>
      <c r="G45" s="30">
        <v>10.76</v>
      </c>
      <c r="H45" s="30">
        <v>1541.11</v>
      </c>
      <c r="I45" s="30">
        <v>3.32</v>
      </c>
      <c r="J45" s="30">
        <v>0.7</v>
      </c>
      <c r="K45" s="30">
        <v>1.06</v>
      </c>
      <c r="L45" s="30" t="s">
        <v>20</v>
      </c>
      <c r="M45" s="30">
        <v>1568.42</v>
      </c>
      <c r="N45" s="30">
        <v>1608.22</v>
      </c>
      <c r="O45" s="30">
        <v>1494.88</v>
      </c>
      <c r="P45" s="30">
        <v>1671.92</v>
      </c>
      <c r="Q45" s="30">
        <v>1751.53</v>
      </c>
      <c r="R45" s="30">
        <v>68</v>
      </c>
      <c r="S45" s="30" t="s">
        <v>21</v>
      </c>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row>
    <row r="46" spans="1:132" x14ac:dyDescent="0.2">
      <c r="A46" t="e" vm="45">
        <v>#VALUE!</v>
      </c>
      <c r="B46" s="2">
        <v>46024</v>
      </c>
      <c r="C46" s="30">
        <v>1057.9000000000001</v>
      </c>
      <c r="D46" s="28" cm="1">
        <f t="array" aca="1" ref="D46" ca="1">_FV(A46,"Price")</f>
        <v>908.7</v>
      </c>
      <c r="E46" s="30">
        <v>0</v>
      </c>
      <c r="F46" s="30">
        <v>65.55</v>
      </c>
      <c r="G46" s="30">
        <v>9.4</v>
      </c>
      <c r="H46" s="30">
        <v>999.16</v>
      </c>
      <c r="I46" s="30">
        <v>5.88</v>
      </c>
      <c r="J46" s="30">
        <v>0.85</v>
      </c>
      <c r="K46" s="30">
        <v>1.23</v>
      </c>
      <c r="L46" s="30" t="s">
        <v>33</v>
      </c>
      <c r="M46" s="30">
        <v>1042.03</v>
      </c>
      <c r="N46" s="30">
        <v>1068.48</v>
      </c>
      <c r="O46" s="30">
        <v>969.19</v>
      </c>
      <c r="P46" s="30">
        <v>1110.8</v>
      </c>
      <c r="Q46" s="30">
        <v>1163.69</v>
      </c>
      <c r="R46" s="30">
        <v>68</v>
      </c>
      <c r="S46" s="30" t="s">
        <v>21</v>
      </c>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row>
    <row r="47" spans="1:132" s="24" customFormat="1" ht="16" x14ac:dyDescent="0.2">
      <c r="A47" s="24" t="e" vm="46">
        <v>#VALUE!</v>
      </c>
      <c r="B47" s="25">
        <v>46024</v>
      </c>
      <c r="C47" s="32">
        <v>154.87</v>
      </c>
      <c r="D47" s="28" cm="1">
        <f t="array" aca="1" ref="D47" ca="1">_FV(A47,"Price")</f>
        <v>157.13</v>
      </c>
      <c r="E47" s="32">
        <v>0</v>
      </c>
      <c r="F47" s="32">
        <v>77.709999999999994</v>
      </c>
      <c r="G47" s="32">
        <v>1.31</v>
      </c>
      <c r="H47" s="32">
        <v>146.99</v>
      </c>
      <c r="I47" s="32">
        <v>5.36</v>
      </c>
      <c r="J47" s="32">
        <v>1.42</v>
      </c>
      <c r="K47" s="32">
        <v>1.22</v>
      </c>
      <c r="L47" s="32" t="s">
        <v>33</v>
      </c>
      <c r="M47" s="32">
        <v>152.55000000000001</v>
      </c>
      <c r="N47" s="32">
        <v>156.41999999999999</v>
      </c>
      <c r="O47" s="32">
        <v>142.58000000000001</v>
      </c>
      <c r="P47" s="32">
        <v>162.61000000000001</v>
      </c>
      <c r="Q47" s="32">
        <v>170.36</v>
      </c>
      <c r="R47" s="32">
        <v>68</v>
      </c>
      <c r="S47" s="32" t="s">
        <v>21</v>
      </c>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row>
    <row r="48" spans="1:132" x14ac:dyDescent="0.2">
      <c r="A48" t="e" vm="47">
        <v>#VALUE!</v>
      </c>
      <c r="B48" s="2">
        <v>46024</v>
      </c>
      <c r="C48" s="30">
        <v>3885.3</v>
      </c>
      <c r="D48" s="28" cm="1">
        <f t="array" aca="1" ref="D48" ca="1">_FV(A48,"Price")</f>
        <v>4018.2</v>
      </c>
      <c r="E48" s="30">
        <v>0</v>
      </c>
      <c r="F48" s="30">
        <v>67.03</v>
      </c>
      <c r="G48" s="30">
        <v>12.03</v>
      </c>
      <c r="H48" s="30">
        <v>3745.86</v>
      </c>
      <c r="I48" s="30">
        <v>3.72</v>
      </c>
      <c r="J48" s="30">
        <v>0.65</v>
      </c>
      <c r="K48" s="30">
        <v>0.42</v>
      </c>
      <c r="L48" s="30" t="s">
        <v>20</v>
      </c>
      <c r="M48" s="30">
        <v>3827.02</v>
      </c>
      <c r="N48" s="30">
        <v>3924.15</v>
      </c>
      <c r="O48" s="30">
        <v>3633.48</v>
      </c>
      <c r="P48" s="30">
        <v>4079.57</v>
      </c>
      <c r="Q48" s="30">
        <v>4273.83</v>
      </c>
      <c r="R48" s="30">
        <v>68</v>
      </c>
      <c r="S48" s="30" t="s">
        <v>21</v>
      </c>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row>
    <row r="49" spans="1:132" s="18" customFormat="1" x14ac:dyDescent="0.2">
      <c r="A49" s="18" t="e" vm="48">
        <v>#VALUE!</v>
      </c>
      <c r="B49" s="19">
        <v>46024</v>
      </c>
      <c r="C49" s="30">
        <v>125.35</v>
      </c>
      <c r="D49" s="28" cm="1">
        <f t="array" aca="1" ref="D49" ca="1">_FV(A49,"Price")</f>
        <v>132.36000000000001</v>
      </c>
      <c r="E49" s="30">
        <v>0</v>
      </c>
      <c r="F49" s="30">
        <v>63.7</v>
      </c>
      <c r="G49" s="30">
        <v>0.05</v>
      </c>
      <c r="H49" s="30">
        <v>121.94</v>
      </c>
      <c r="I49" s="30">
        <v>2.8</v>
      </c>
      <c r="J49" s="30">
        <v>1.2</v>
      </c>
      <c r="K49" s="30">
        <v>0.95</v>
      </c>
      <c r="L49" s="30" t="s">
        <v>20</v>
      </c>
      <c r="M49" s="30">
        <v>123.47</v>
      </c>
      <c r="N49" s="30">
        <v>126.6</v>
      </c>
      <c r="O49" s="30">
        <v>118.28</v>
      </c>
      <c r="P49" s="30">
        <v>131.62</v>
      </c>
      <c r="Q49" s="30">
        <v>137.88</v>
      </c>
      <c r="R49" s="30">
        <v>70</v>
      </c>
      <c r="S49" s="30" t="s">
        <v>21</v>
      </c>
      <c r="T49" s="30" t="s">
        <v>133</v>
      </c>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row>
    <row r="50" spans="1:132" x14ac:dyDescent="0.2">
      <c r="A50" t="e" vm="49">
        <v>#VALUE!</v>
      </c>
      <c r="B50" s="2">
        <v>46024</v>
      </c>
      <c r="C50" s="30">
        <v>1781.1</v>
      </c>
      <c r="D50" s="28" cm="1">
        <f t="array" aca="1" ref="D50" ca="1">_FV(A50,"Price")</f>
        <v>1699.2</v>
      </c>
      <c r="E50" s="30">
        <v>0</v>
      </c>
      <c r="F50" s="30">
        <v>62.55</v>
      </c>
      <c r="G50" s="30">
        <v>4.12</v>
      </c>
      <c r="H50" s="30">
        <v>1710.42</v>
      </c>
      <c r="I50" s="30">
        <v>4.13</v>
      </c>
      <c r="J50" s="30">
        <v>1</v>
      </c>
      <c r="K50" s="30">
        <v>0.75</v>
      </c>
      <c r="L50" s="30" t="s">
        <v>20</v>
      </c>
      <c r="M50" s="30">
        <v>1754.38</v>
      </c>
      <c r="N50" s="30">
        <v>1798.91</v>
      </c>
      <c r="O50" s="30">
        <v>1659.11</v>
      </c>
      <c r="P50" s="30">
        <v>1870.15</v>
      </c>
      <c r="Q50" s="30">
        <v>1959.21</v>
      </c>
      <c r="R50" s="30">
        <v>70</v>
      </c>
      <c r="S50" s="30" t="s">
        <v>21</v>
      </c>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row>
    <row r="51" spans="1:132" x14ac:dyDescent="0.2">
      <c r="A51" t="e" vm="50">
        <v>#VALUE!</v>
      </c>
      <c r="B51" s="2">
        <v>46024</v>
      </c>
      <c r="C51" s="30">
        <v>166.79</v>
      </c>
      <c r="D51" s="28" cm="1">
        <f t="array" aca="1" ref="D51" ca="1">_FV(A51,"Price")</f>
        <v>161.32</v>
      </c>
      <c r="E51" s="30">
        <v>0</v>
      </c>
      <c r="F51" s="30">
        <v>67.010000000000005</v>
      </c>
      <c r="G51" s="30">
        <v>0.67</v>
      </c>
      <c r="H51" s="30">
        <v>161.79</v>
      </c>
      <c r="I51" s="30">
        <v>3.09</v>
      </c>
      <c r="J51" s="30">
        <v>1.08</v>
      </c>
      <c r="K51" s="30">
        <v>1.03</v>
      </c>
      <c r="L51" s="30" t="s">
        <v>20</v>
      </c>
      <c r="M51" s="30">
        <v>164.29</v>
      </c>
      <c r="N51" s="30">
        <v>168.46</v>
      </c>
      <c r="O51" s="30">
        <v>156.93</v>
      </c>
      <c r="P51" s="30">
        <v>175.13</v>
      </c>
      <c r="Q51" s="30">
        <v>183.47</v>
      </c>
      <c r="R51" s="30">
        <v>70</v>
      </c>
      <c r="S51" s="30" t="s">
        <v>21</v>
      </c>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row>
    <row r="52" spans="1:132" x14ac:dyDescent="0.2">
      <c r="A52" t="e" vm="51">
        <v>#VALUE!</v>
      </c>
      <c r="B52" s="2">
        <v>46024</v>
      </c>
      <c r="C52" s="30">
        <v>84.53</v>
      </c>
      <c r="D52" s="28" cm="1">
        <f t="array" aca="1" ref="D52" ca="1">_FV(A52,"Price")</f>
        <v>82.74</v>
      </c>
      <c r="E52" s="30">
        <v>0</v>
      </c>
      <c r="F52" s="30">
        <v>67.98</v>
      </c>
      <c r="G52" s="30">
        <v>0.64</v>
      </c>
      <c r="H52" s="30">
        <v>77.19</v>
      </c>
      <c r="I52" s="30">
        <v>9.52</v>
      </c>
      <c r="J52" s="30">
        <v>1.75</v>
      </c>
      <c r="K52" s="30">
        <v>0.88</v>
      </c>
      <c r="L52" s="30" t="s">
        <v>20</v>
      </c>
      <c r="M52" s="30">
        <v>83.26</v>
      </c>
      <c r="N52" s="30">
        <v>85.38</v>
      </c>
      <c r="O52" s="30">
        <v>74.87</v>
      </c>
      <c r="P52" s="30">
        <v>88.76</v>
      </c>
      <c r="Q52" s="30">
        <v>92.98</v>
      </c>
      <c r="R52" s="30">
        <v>70</v>
      </c>
      <c r="S52" s="30" t="s">
        <v>21</v>
      </c>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row>
    <row r="53" spans="1:132" x14ac:dyDescent="0.2">
      <c r="A53" t="e" vm="52">
        <v>#VALUE!</v>
      </c>
      <c r="B53" s="2">
        <v>46024</v>
      </c>
      <c r="C53" s="30">
        <v>2067.4</v>
      </c>
      <c r="D53" s="28" cm="1">
        <f t="array" aca="1" ref="D53" ca="1">_FV(A53,"Price")</f>
        <v>2081</v>
      </c>
      <c r="E53" s="30">
        <v>0</v>
      </c>
      <c r="F53" s="30">
        <v>70.010000000000005</v>
      </c>
      <c r="G53" s="30">
        <v>7.27</v>
      </c>
      <c r="H53" s="30">
        <v>2010.85</v>
      </c>
      <c r="I53" s="30">
        <v>2.81</v>
      </c>
      <c r="J53" s="30">
        <v>1.17</v>
      </c>
      <c r="K53" s="30">
        <v>0.74</v>
      </c>
      <c r="L53" s="30" t="s">
        <v>20</v>
      </c>
      <c r="M53" s="30">
        <v>2036.39</v>
      </c>
      <c r="N53" s="30">
        <v>2088.0700000000002</v>
      </c>
      <c r="O53" s="30">
        <v>1950.52</v>
      </c>
      <c r="P53" s="30">
        <v>2170.77</v>
      </c>
      <c r="Q53" s="30">
        <v>2274.14</v>
      </c>
      <c r="R53" s="30">
        <v>71</v>
      </c>
      <c r="S53" s="30" t="s">
        <v>21</v>
      </c>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row>
    <row r="54" spans="1:132" x14ac:dyDescent="0.2">
      <c r="A54" t="e" vm="53">
        <v>#VALUE!</v>
      </c>
      <c r="B54" s="2">
        <v>46024</v>
      </c>
      <c r="C54" s="30">
        <v>804.65</v>
      </c>
      <c r="D54" s="28" cm="1">
        <f t="array" aca="1" ref="D54" ca="1">_FV(A54,"Price")</f>
        <v>515.79999999999995</v>
      </c>
      <c r="E54" s="30">
        <v>0</v>
      </c>
      <c r="F54" s="30">
        <v>70.48</v>
      </c>
      <c r="G54" s="30">
        <v>5.48</v>
      </c>
      <c r="H54" s="30">
        <v>757.38</v>
      </c>
      <c r="I54" s="30">
        <v>6.24</v>
      </c>
      <c r="J54" s="30">
        <v>1.67</v>
      </c>
      <c r="K54" s="30">
        <v>1.44</v>
      </c>
      <c r="L54" s="30" t="s">
        <v>33</v>
      </c>
      <c r="M54" s="30">
        <v>792.58</v>
      </c>
      <c r="N54" s="30">
        <v>812.7</v>
      </c>
      <c r="O54" s="30">
        <v>734.66</v>
      </c>
      <c r="P54" s="30">
        <v>844.88</v>
      </c>
      <c r="Q54" s="30">
        <v>885.12</v>
      </c>
      <c r="R54" s="30">
        <v>71</v>
      </c>
      <c r="S54" s="30" t="s">
        <v>21</v>
      </c>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row>
    <row r="55" spans="1:132" x14ac:dyDescent="0.2">
      <c r="A55" s="8" t="e" vm="54">
        <v>#VALUE!</v>
      </c>
      <c r="B55" s="9">
        <v>46024</v>
      </c>
      <c r="C55" s="30">
        <v>1640.4</v>
      </c>
      <c r="D55" s="28" cm="1">
        <f t="array" aca="1" ref="D55" ca="1">_FV(A55,"Price")</f>
        <v>1689.8</v>
      </c>
      <c r="E55" s="30">
        <v>0</v>
      </c>
      <c r="F55" s="30">
        <v>60.3</v>
      </c>
      <c r="G55" s="30">
        <v>23.79</v>
      </c>
      <c r="H55" s="30">
        <v>1571.66</v>
      </c>
      <c r="I55" s="30">
        <v>4.37</v>
      </c>
      <c r="J55" s="30">
        <v>0.68</v>
      </c>
      <c r="K55" s="30">
        <v>0.41</v>
      </c>
      <c r="L55" s="30" t="s">
        <v>20</v>
      </c>
      <c r="M55" s="30">
        <v>1615.79</v>
      </c>
      <c r="N55" s="30">
        <v>1656.8</v>
      </c>
      <c r="O55" s="30">
        <v>1524.51</v>
      </c>
      <c r="P55" s="30">
        <v>1722.42</v>
      </c>
      <c r="Q55" s="30">
        <v>1804.44</v>
      </c>
      <c r="R55" s="30">
        <v>75</v>
      </c>
      <c r="S55" s="30" t="s">
        <v>21</v>
      </c>
      <c r="T55" s="30" t="s">
        <v>142</v>
      </c>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row>
    <row r="56" spans="1:132" x14ac:dyDescent="0.2">
      <c r="A56" t="e" vm="55">
        <v>#VALUE!</v>
      </c>
      <c r="B56" s="2">
        <v>46024</v>
      </c>
      <c r="C56" s="30">
        <v>1612</v>
      </c>
      <c r="D56" s="28" cm="1">
        <f t="array" aca="1" ref="D56" ca="1">_FV(A56,"Price")</f>
        <v>1670.5</v>
      </c>
      <c r="E56" s="30">
        <v>0</v>
      </c>
      <c r="F56" s="30">
        <v>62.07</v>
      </c>
      <c r="G56" s="30">
        <v>22.03</v>
      </c>
      <c r="H56" s="30">
        <v>1521.51</v>
      </c>
      <c r="I56" s="30">
        <v>5.95</v>
      </c>
      <c r="J56" s="30">
        <v>0.59</v>
      </c>
      <c r="K56" s="30">
        <v>0.72</v>
      </c>
      <c r="L56" s="30" t="s">
        <v>20</v>
      </c>
      <c r="M56" s="30">
        <v>1587.82</v>
      </c>
      <c r="N56" s="30">
        <v>1628.12</v>
      </c>
      <c r="O56" s="30">
        <v>1475.86</v>
      </c>
      <c r="P56" s="30">
        <v>1692.6</v>
      </c>
      <c r="Q56" s="30">
        <v>1773.2</v>
      </c>
      <c r="R56" s="30">
        <v>75</v>
      </c>
      <c r="S56" s="30" t="s">
        <v>21</v>
      </c>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row>
    <row r="57" spans="1:132" x14ac:dyDescent="0.2">
      <c r="A57" t="e" vm="56">
        <v>#VALUE!</v>
      </c>
      <c r="B57" s="2">
        <v>46024</v>
      </c>
      <c r="C57" s="30">
        <v>3059.5</v>
      </c>
      <c r="D57" s="28" cm="1">
        <f t="array" aca="1" ref="D57" ca="1">_FV(A57,"Price")</f>
        <v>3027.4</v>
      </c>
      <c r="E57" s="30">
        <v>0</v>
      </c>
      <c r="F57" s="30">
        <v>55.18</v>
      </c>
      <c r="G57" s="30">
        <v>11.72</v>
      </c>
      <c r="H57" s="30">
        <v>2959.25</v>
      </c>
      <c r="I57" s="30">
        <v>3.39</v>
      </c>
      <c r="J57" s="30">
        <v>1.32</v>
      </c>
      <c r="K57" s="30">
        <v>0.27</v>
      </c>
      <c r="L57" s="30" t="s">
        <v>20</v>
      </c>
      <c r="M57" s="30">
        <v>3013.61</v>
      </c>
      <c r="N57" s="30">
        <v>3090.1</v>
      </c>
      <c r="O57" s="30">
        <v>2870.47</v>
      </c>
      <c r="P57" s="30">
        <v>3212.48</v>
      </c>
      <c r="Q57" s="30">
        <v>3365.45</v>
      </c>
      <c r="R57" s="30">
        <v>76</v>
      </c>
      <c r="S57" s="30" t="s">
        <v>21</v>
      </c>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row>
    <row r="58" spans="1:132" x14ac:dyDescent="0.2">
      <c r="A58" t="e" vm="57">
        <v>#VALUE!</v>
      </c>
      <c r="B58" s="2">
        <v>46024</v>
      </c>
      <c r="C58" s="30">
        <v>3820.8</v>
      </c>
      <c r="D58" s="28" cm="1">
        <f t="array" aca="1" ref="D58" ca="1">_FV(A58,"Price")</f>
        <v>3936.1</v>
      </c>
      <c r="E58" s="30">
        <v>0</v>
      </c>
      <c r="F58" s="30">
        <v>76.09</v>
      </c>
      <c r="G58" s="30">
        <v>26.46</v>
      </c>
      <c r="H58" s="30">
        <v>3655.12</v>
      </c>
      <c r="I58" s="30">
        <v>4.53</v>
      </c>
      <c r="J58" s="30">
        <v>1.1299999999999999</v>
      </c>
      <c r="K58" s="30">
        <v>0.93</v>
      </c>
      <c r="L58" s="30" t="s">
        <v>20</v>
      </c>
      <c r="M58" s="30">
        <v>3763.49</v>
      </c>
      <c r="N58" s="30">
        <v>3859.01</v>
      </c>
      <c r="O58" s="30">
        <v>3545.47</v>
      </c>
      <c r="P58" s="30">
        <v>4011.84</v>
      </c>
      <c r="Q58" s="30">
        <v>4202.88</v>
      </c>
      <c r="R58" s="30">
        <v>78</v>
      </c>
      <c r="S58" s="30" t="s">
        <v>21</v>
      </c>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row>
    <row r="59" spans="1:132" x14ac:dyDescent="0.2">
      <c r="A59" t="e" vm="58">
        <v>#VALUE!</v>
      </c>
      <c r="B59" s="2">
        <v>46024</v>
      </c>
      <c r="C59" s="30">
        <v>2772.6</v>
      </c>
      <c r="D59" s="28" cm="1">
        <f t="array" aca="1" ref="D59" ca="1">_FV(A59,"Price")</f>
        <v>2756.9</v>
      </c>
      <c r="E59" s="30">
        <v>0</v>
      </c>
      <c r="F59" s="30">
        <v>58.84</v>
      </c>
      <c r="G59" s="30">
        <v>13.8</v>
      </c>
      <c r="H59" s="30">
        <v>2782.18</v>
      </c>
      <c r="I59" s="30">
        <v>-0.34</v>
      </c>
      <c r="J59" s="30">
        <v>1.33</v>
      </c>
      <c r="K59" s="30">
        <v>0.52</v>
      </c>
      <c r="L59" s="30" t="s">
        <v>20</v>
      </c>
      <c r="M59" s="30">
        <v>2754.36</v>
      </c>
      <c r="N59" s="30">
        <v>2800.33</v>
      </c>
      <c r="O59" s="30">
        <v>2661.7</v>
      </c>
      <c r="P59" s="30">
        <v>2911.23</v>
      </c>
      <c r="Q59" s="30">
        <v>3049.86</v>
      </c>
      <c r="R59" s="30">
        <v>81</v>
      </c>
      <c r="S59" s="30" t="s">
        <v>21</v>
      </c>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row>
    <row r="60" spans="1:132" x14ac:dyDescent="0.2">
      <c r="A60" t="e" vm="59">
        <v>#VALUE!</v>
      </c>
      <c r="B60" s="2">
        <v>46024</v>
      </c>
      <c r="C60" s="30">
        <v>9502.5</v>
      </c>
      <c r="D60" s="28" cm="1">
        <f t="array" aca="1" ref="D60" ca="1">_FV(A60,"Price")</f>
        <v>9489</v>
      </c>
      <c r="E60" s="30">
        <v>0</v>
      </c>
      <c r="F60" s="30">
        <v>65.91</v>
      </c>
      <c r="G60" s="30">
        <v>28.24</v>
      </c>
      <c r="H60" s="30">
        <v>9011.5499999999993</v>
      </c>
      <c r="I60" s="30">
        <v>5.45</v>
      </c>
      <c r="J60" s="30">
        <v>1.1200000000000001</v>
      </c>
      <c r="K60" s="30">
        <v>2.48</v>
      </c>
      <c r="L60" s="30" t="s">
        <v>25</v>
      </c>
      <c r="M60" s="28">
        <v>9359.9599999999991</v>
      </c>
      <c r="N60" s="30">
        <v>9597.52</v>
      </c>
      <c r="O60" s="30">
        <v>8741.2000000000007</v>
      </c>
      <c r="P60" s="30">
        <v>9977.6200000000008</v>
      </c>
      <c r="Q60" s="30">
        <v>10452.75</v>
      </c>
      <c r="R60" s="30">
        <v>85</v>
      </c>
      <c r="S60" s="30" t="s">
        <v>21</v>
      </c>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row>
    <row r="61" spans="1:132" x14ac:dyDescent="0.2">
      <c r="A61" t="e" vm="60">
        <v>#VALUE!</v>
      </c>
      <c r="B61" s="2">
        <v>46024</v>
      </c>
      <c r="C61" s="30">
        <v>4051.7</v>
      </c>
      <c r="D61" s="28" cm="1">
        <f t="array" aca="1" ref="D61" ca="1">_FV(A61,"Price")</f>
        <v>4196.8999999999996</v>
      </c>
      <c r="E61" s="30">
        <v>0</v>
      </c>
      <c r="F61" s="30">
        <v>68.17</v>
      </c>
      <c r="G61" s="30">
        <v>28.36</v>
      </c>
      <c r="H61" s="30">
        <v>3882.44</v>
      </c>
      <c r="I61" s="30">
        <v>4.3600000000000003</v>
      </c>
      <c r="J61" s="30">
        <v>1.1000000000000001</v>
      </c>
      <c r="K61" s="30">
        <v>0.89</v>
      </c>
      <c r="L61" s="30" t="s">
        <v>20</v>
      </c>
      <c r="M61" s="30">
        <v>3990.92</v>
      </c>
      <c r="N61" s="30">
        <v>4092.22</v>
      </c>
      <c r="O61" s="30">
        <v>3765.97</v>
      </c>
      <c r="P61" s="30">
        <v>4254.28</v>
      </c>
      <c r="Q61" s="30">
        <v>4456.87</v>
      </c>
      <c r="R61" s="30">
        <v>85</v>
      </c>
      <c r="S61" s="30" t="s">
        <v>21</v>
      </c>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row>
    <row r="62" spans="1:132" x14ac:dyDescent="0.2">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row>
    <row r="64" spans="1:132" x14ac:dyDescent="0.2">
      <c r="B64" s="2"/>
      <c r="M64" s="7"/>
    </row>
  </sheetData>
  <autoFilter ref="A1:S61" xr:uid="{00000000-0001-0000-0100-000000000000}">
    <sortState xmlns:xlrd2="http://schemas.microsoft.com/office/spreadsheetml/2017/richdata2" ref="A2:S61">
      <sortCondition ref="R1:R61"/>
    </sortState>
  </autoFilter>
  <conditionalFormatting sqref="A5:XFD7 W9:X9 W10:W11">
    <cfRule type="expression" dxfId="16" priority="7">
      <formula>$D$2:$D$61&lt;$M$2:$M$61</formula>
    </cfRule>
  </conditionalFormatting>
  <conditionalFormatting sqref="D2:D61">
    <cfRule type="expression" dxfId="15" priority="5">
      <formula>D2&lt;M2</formula>
    </cfRule>
    <cfRule type="expression" dxfId="14" priority="6">
      <formula>A2&lt;M2</formula>
    </cfRule>
  </conditionalFormatting>
  <conditionalFormatting sqref="D5:D8">
    <cfRule type="expression" dxfId="13" priority="17">
      <formula>A1&lt;M1</formula>
    </cfRule>
  </conditionalFormatting>
  <conditionalFormatting sqref="D9:D11">
    <cfRule type="expression" dxfId="12" priority="19">
      <formula>#REF!&lt;#REF!</formula>
    </cfRule>
  </conditionalFormatting>
  <conditionalFormatting sqref="D12:D61">
    <cfRule type="expression" dxfId="11" priority="8">
      <formula>A5&lt;M5</formula>
    </cfRule>
  </conditionalFormatting>
  <conditionalFormatting sqref="D64">
    <cfRule type="expression" dxfId="10" priority="9">
      <formula>D8&lt;M8</formula>
    </cfRule>
    <cfRule type="expression" dxfId="9" priority="10">
      <formula>$D$64&lt;$M$64</formula>
    </cfRule>
    <cfRule type="expression" dxfId="8" priority="12">
      <formula>$D$64&gt;0</formula>
    </cfRule>
    <cfRule type="expression" dxfId="7" priority="13">
      <formula>$D$64&lt;$M$64</formula>
    </cfRule>
  </conditionalFormatting>
  <conditionalFormatting sqref="H2:H61">
    <cfRule type="expression" dxfId="6" priority="2">
      <formula>H2&lt;D2</formula>
    </cfRule>
  </conditionalFormatting>
  <conditionalFormatting sqref="K2:K61">
    <cfRule type="expression" dxfId="5" priority="3">
      <formula>K2&gt;=1.2</formula>
    </cfRule>
    <cfRule type="expression" dxfId="4" priority="4">
      <formula>"&gt;1.2"</formula>
    </cfRule>
  </conditionalFormatting>
  <conditionalFormatting sqref="T8">
    <cfRule type="expression" dxfId="3" priority="1">
      <formula>$D$2:$D$61&lt;$M$2:$M$61</formula>
    </cfRule>
  </conditionalFormatting>
  <pageMargins left="0.25" right="0.25" top="0.75" bottom="0.75" header="0.3" footer="0.3"/>
  <pageSetup paperSize="8"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
  <sheetViews>
    <sheetView workbookViewId="0">
      <selection activeCell="H28" sqref="H28"/>
    </sheetView>
  </sheetViews>
  <sheetFormatPr baseColWidth="10" defaultColWidth="8.83203125" defaultRowHeight="15" x14ac:dyDescent="0.2"/>
  <cols>
    <col min="1" max="1" width="16.33203125" customWidth="1"/>
    <col min="2" max="2" width="15.5" bestFit="1" customWidth="1"/>
    <col min="7" max="7" width="10.6640625" customWidth="1"/>
    <col min="8" max="8" width="13.6640625" customWidth="1"/>
    <col min="9" max="9" width="18.33203125" customWidth="1"/>
    <col min="10" max="10" width="12.1640625"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84</v>
      </c>
      <c r="B2" s="2">
        <v>46024</v>
      </c>
      <c r="C2">
        <v>2279.8000000000002</v>
      </c>
      <c r="D2">
        <v>2279.8000000000002</v>
      </c>
      <c r="E2">
        <v>0</v>
      </c>
      <c r="F2">
        <v>43.14</v>
      </c>
      <c r="G2">
        <v>-21.37</v>
      </c>
      <c r="H2">
        <v>2328.94</v>
      </c>
      <c r="I2">
        <v>-2.11</v>
      </c>
      <c r="J2">
        <v>0.69</v>
      </c>
      <c r="K2">
        <v>1.08</v>
      </c>
      <c r="L2" t="s">
        <v>20</v>
      </c>
      <c r="M2">
        <v>2305.65</v>
      </c>
      <c r="N2">
        <v>2302.6</v>
      </c>
      <c r="O2">
        <v>2188.61</v>
      </c>
      <c r="P2">
        <v>2393.79</v>
      </c>
      <c r="Q2">
        <v>2507.7800000000002</v>
      </c>
      <c r="R2">
        <v>0</v>
      </c>
      <c r="S2" t="s">
        <v>85</v>
      </c>
    </row>
    <row r="3" spans="1:19" x14ac:dyDescent="0.2">
      <c r="A3" t="s">
        <v>86</v>
      </c>
      <c r="B3" s="2">
        <v>46024</v>
      </c>
      <c r="C3">
        <v>1489.5</v>
      </c>
      <c r="D3">
        <v>1489.5</v>
      </c>
      <c r="E3">
        <v>0</v>
      </c>
      <c r="F3">
        <v>57.48</v>
      </c>
      <c r="G3">
        <v>-0.45</v>
      </c>
      <c r="H3">
        <v>1491.44</v>
      </c>
      <c r="I3">
        <v>-0.13</v>
      </c>
      <c r="J3">
        <v>0.81</v>
      </c>
      <c r="K3">
        <v>1.02</v>
      </c>
      <c r="L3" t="s">
        <v>20</v>
      </c>
      <c r="M3">
        <v>1476.53</v>
      </c>
      <c r="N3">
        <v>1504.4</v>
      </c>
      <c r="O3">
        <v>1429.92</v>
      </c>
      <c r="P3">
        <v>1563.98</v>
      </c>
      <c r="Q3">
        <v>1638.45</v>
      </c>
      <c r="R3">
        <v>38</v>
      </c>
      <c r="S3" t="s">
        <v>85</v>
      </c>
    </row>
    <row r="4" spans="1:19" x14ac:dyDescent="0.2">
      <c r="A4" t="s">
        <v>87</v>
      </c>
      <c r="B4" s="2">
        <v>46024</v>
      </c>
      <c r="C4">
        <v>7129.5</v>
      </c>
      <c r="D4">
        <v>7129.5</v>
      </c>
      <c r="E4">
        <v>0</v>
      </c>
      <c r="F4">
        <v>44.17</v>
      </c>
      <c r="G4">
        <v>-88.62</v>
      </c>
      <c r="H4">
        <v>7305.85</v>
      </c>
      <c r="I4">
        <v>-2.41</v>
      </c>
      <c r="J4">
        <v>0.86</v>
      </c>
      <c r="K4">
        <v>1.38</v>
      </c>
      <c r="L4" t="s">
        <v>33</v>
      </c>
      <c r="M4">
        <v>7232.79</v>
      </c>
      <c r="N4">
        <v>7200.8</v>
      </c>
      <c r="O4">
        <v>6844.32</v>
      </c>
      <c r="P4">
        <v>7485.98</v>
      </c>
      <c r="Q4">
        <v>7842.45</v>
      </c>
      <c r="R4">
        <v>0</v>
      </c>
      <c r="S4" t="s">
        <v>85</v>
      </c>
    </row>
    <row r="5" spans="1:19" x14ac:dyDescent="0.2">
      <c r="A5" t="s">
        <v>88</v>
      </c>
      <c r="B5" s="2">
        <v>46024</v>
      </c>
      <c r="C5">
        <v>990.45</v>
      </c>
      <c r="D5">
        <v>990.45</v>
      </c>
      <c r="E5">
        <v>0</v>
      </c>
      <c r="F5">
        <v>51.44</v>
      </c>
      <c r="G5">
        <v>-9.5299999999999994</v>
      </c>
      <c r="H5">
        <v>1023.35</v>
      </c>
      <c r="I5">
        <v>-3.22</v>
      </c>
      <c r="J5">
        <v>1.1000000000000001</v>
      </c>
      <c r="K5">
        <v>1.08</v>
      </c>
      <c r="L5" t="s">
        <v>20</v>
      </c>
      <c r="M5">
        <v>1013.12</v>
      </c>
      <c r="N5">
        <v>1000.35</v>
      </c>
      <c r="O5">
        <v>950.83</v>
      </c>
      <c r="P5">
        <v>1039.97</v>
      </c>
      <c r="Q5">
        <v>1089.5</v>
      </c>
      <c r="R5">
        <v>20</v>
      </c>
      <c r="S5" t="s">
        <v>85</v>
      </c>
    </row>
    <row r="6" spans="1:19" x14ac:dyDescent="0.2">
      <c r="A6" t="s">
        <v>89</v>
      </c>
      <c r="B6" s="2">
        <v>46024</v>
      </c>
      <c r="C6">
        <v>2038.4</v>
      </c>
      <c r="D6">
        <v>2038.4</v>
      </c>
      <c r="E6">
        <v>0</v>
      </c>
      <c r="F6">
        <v>51.07</v>
      </c>
      <c r="G6">
        <v>-9.8699999999999992</v>
      </c>
      <c r="H6">
        <v>2068.1999999999998</v>
      </c>
      <c r="I6">
        <v>-1.44</v>
      </c>
      <c r="J6">
        <v>1.84</v>
      </c>
      <c r="K6">
        <v>0.63</v>
      </c>
      <c r="L6" t="s">
        <v>20</v>
      </c>
      <c r="M6">
        <v>2047.52</v>
      </c>
      <c r="N6">
        <v>2058.7800000000002</v>
      </c>
      <c r="O6">
        <v>1956.86</v>
      </c>
      <c r="P6">
        <v>2140.3200000000002</v>
      </c>
      <c r="Q6">
        <v>2242.2399999999998</v>
      </c>
      <c r="R6">
        <v>50</v>
      </c>
      <c r="S6" t="s">
        <v>85</v>
      </c>
    </row>
    <row r="7" spans="1:19" x14ac:dyDescent="0.2">
      <c r="A7" t="s">
        <v>90</v>
      </c>
      <c r="B7" s="2">
        <v>46024</v>
      </c>
      <c r="C7">
        <v>5984.5</v>
      </c>
      <c r="D7">
        <v>5984.5</v>
      </c>
      <c r="E7">
        <v>0</v>
      </c>
      <c r="F7">
        <v>54.5</v>
      </c>
      <c r="G7">
        <v>-17.850000000000001</v>
      </c>
      <c r="H7">
        <v>5945.3</v>
      </c>
      <c r="I7">
        <v>0.66</v>
      </c>
      <c r="J7">
        <v>0.55000000000000004</v>
      </c>
      <c r="K7">
        <v>1.6</v>
      </c>
      <c r="L7" t="s">
        <v>25</v>
      </c>
      <c r="M7">
        <v>5894.73</v>
      </c>
      <c r="N7">
        <v>6044.34</v>
      </c>
      <c r="O7">
        <v>5745.12</v>
      </c>
      <c r="P7">
        <v>6283.72</v>
      </c>
      <c r="Q7">
        <v>6582.95</v>
      </c>
      <c r="R7">
        <v>30</v>
      </c>
      <c r="S7" t="s">
        <v>85</v>
      </c>
    </row>
    <row r="8" spans="1:19" x14ac:dyDescent="0.2">
      <c r="A8" t="s">
        <v>91</v>
      </c>
      <c r="B8" s="2">
        <v>46024</v>
      </c>
      <c r="C8">
        <v>6392.5</v>
      </c>
      <c r="D8">
        <v>6392.5</v>
      </c>
      <c r="E8">
        <v>0</v>
      </c>
      <c r="F8">
        <v>51.35</v>
      </c>
      <c r="G8">
        <v>-14.59</v>
      </c>
      <c r="H8">
        <v>6495.45</v>
      </c>
      <c r="I8">
        <v>-1.58</v>
      </c>
      <c r="J8">
        <v>1.48</v>
      </c>
      <c r="K8">
        <v>0.3</v>
      </c>
      <c r="L8" t="s">
        <v>20</v>
      </c>
      <c r="M8">
        <v>6430.5</v>
      </c>
      <c r="N8">
        <v>6456.42</v>
      </c>
      <c r="O8">
        <v>6136.8</v>
      </c>
      <c r="P8">
        <v>6712.12</v>
      </c>
      <c r="Q8">
        <v>7031.75</v>
      </c>
      <c r="R8">
        <v>45</v>
      </c>
      <c r="S8" t="s">
        <v>85</v>
      </c>
    </row>
    <row r="9" spans="1:19" x14ac:dyDescent="0.2">
      <c r="A9" t="s">
        <v>92</v>
      </c>
      <c r="B9" s="2">
        <v>46024</v>
      </c>
      <c r="C9">
        <v>1256.0999999999999</v>
      </c>
      <c r="D9">
        <v>1256.0999999999999</v>
      </c>
      <c r="E9">
        <v>0</v>
      </c>
      <c r="F9">
        <v>49.91</v>
      </c>
      <c r="G9">
        <v>0.35</v>
      </c>
      <c r="H9">
        <v>1250.98</v>
      </c>
      <c r="I9">
        <v>0.41</v>
      </c>
      <c r="J9">
        <v>0.6</v>
      </c>
      <c r="K9">
        <v>2.09</v>
      </c>
      <c r="L9" t="s">
        <v>25</v>
      </c>
      <c r="M9">
        <v>1238.47</v>
      </c>
      <c r="N9">
        <v>1268.6600000000001</v>
      </c>
      <c r="O9">
        <v>1205.8599999999999</v>
      </c>
      <c r="P9">
        <v>1318.9</v>
      </c>
      <c r="Q9">
        <v>1381.71</v>
      </c>
      <c r="R9">
        <v>40</v>
      </c>
      <c r="S9" t="s">
        <v>85</v>
      </c>
    </row>
    <row r="10" spans="1:19" x14ac:dyDescent="0.2">
      <c r="A10" t="s">
        <v>93</v>
      </c>
      <c r="B10" s="2">
        <v>46024</v>
      </c>
      <c r="C10">
        <v>7334.5</v>
      </c>
      <c r="D10">
        <v>7334.5</v>
      </c>
      <c r="E10">
        <v>0</v>
      </c>
      <c r="F10">
        <v>70.38</v>
      </c>
      <c r="G10">
        <v>-9.86</v>
      </c>
      <c r="H10">
        <v>7108.85</v>
      </c>
      <c r="I10">
        <v>3.17</v>
      </c>
      <c r="J10">
        <v>1.22</v>
      </c>
      <c r="K10">
        <v>0.59</v>
      </c>
      <c r="L10" t="s">
        <v>20</v>
      </c>
      <c r="M10">
        <v>7224.48</v>
      </c>
      <c r="N10">
        <v>7407.84</v>
      </c>
      <c r="O10">
        <v>6895.58</v>
      </c>
      <c r="P10">
        <v>7701.22</v>
      </c>
      <c r="Q10">
        <v>8067.95</v>
      </c>
      <c r="R10">
        <v>43</v>
      </c>
      <c r="S10" t="s">
        <v>85</v>
      </c>
    </row>
    <row r="11" spans="1:19" x14ac:dyDescent="0.2">
      <c r="A11" t="s">
        <v>94</v>
      </c>
      <c r="B11" s="2">
        <v>46024</v>
      </c>
      <c r="C11">
        <v>754.85</v>
      </c>
      <c r="D11">
        <v>754.85</v>
      </c>
      <c r="E11">
        <v>0</v>
      </c>
      <c r="F11">
        <v>50.29</v>
      </c>
      <c r="G11">
        <v>-2.5499999999999998</v>
      </c>
      <c r="H11">
        <v>759.86</v>
      </c>
      <c r="I11">
        <v>-0.66</v>
      </c>
      <c r="J11">
        <v>1.71</v>
      </c>
      <c r="K11">
        <v>0.55000000000000004</v>
      </c>
      <c r="L11" t="s">
        <v>20</v>
      </c>
      <c r="M11">
        <v>752.27</v>
      </c>
      <c r="N11">
        <v>762.4</v>
      </c>
      <c r="O11">
        <v>724.66</v>
      </c>
      <c r="P11">
        <v>792.59</v>
      </c>
      <c r="Q11">
        <v>830.33</v>
      </c>
      <c r="R11">
        <v>50</v>
      </c>
      <c r="S11" t="s">
        <v>85</v>
      </c>
    </row>
    <row r="12" spans="1:19" x14ac:dyDescent="0.2">
      <c r="A12" t="s">
        <v>95</v>
      </c>
      <c r="B12" s="2">
        <v>46024</v>
      </c>
      <c r="C12">
        <v>5933</v>
      </c>
      <c r="D12">
        <v>5933</v>
      </c>
      <c r="E12">
        <v>0</v>
      </c>
      <c r="F12">
        <v>62.21</v>
      </c>
      <c r="G12">
        <v>-18.82</v>
      </c>
      <c r="H12">
        <v>5821.7</v>
      </c>
      <c r="I12">
        <v>1.91</v>
      </c>
      <c r="J12">
        <v>1.33</v>
      </c>
      <c r="K12">
        <v>1.41</v>
      </c>
      <c r="L12" t="s">
        <v>33</v>
      </c>
      <c r="M12">
        <v>5844</v>
      </c>
      <c r="N12">
        <v>5992.33</v>
      </c>
      <c r="O12">
        <v>5647.05</v>
      </c>
      <c r="P12">
        <v>6229.65</v>
      </c>
      <c r="Q12">
        <v>6526.3</v>
      </c>
      <c r="R12">
        <v>60</v>
      </c>
      <c r="S12" t="s">
        <v>85</v>
      </c>
    </row>
    <row r="13" spans="1:19" x14ac:dyDescent="0.2">
      <c r="A13" t="s">
        <v>96</v>
      </c>
      <c r="B13" s="2">
        <v>46024</v>
      </c>
      <c r="C13">
        <v>350.05</v>
      </c>
      <c r="D13">
        <v>350.05</v>
      </c>
      <c r="E13">
        <v>0</v>
      </c>
      <c r="F13">
        <v>24.43</v>
      </c>
      <c r="G13">
        <v>-3.71</v>
      </c>
      <c r="H13">
        <v>400.49</v>
      </c>
      <c r="I13">
        <v>-12.6</v>
      </c>
      <c r="J13">
        <v>5.52</v>
      </c>
      <c r="K13">
        <v>2.6</v>
      </c>
      <c r="L13" t="s">
        <v>25</v>
      </c>
      <c r="M13">
        <v>396.49</v>
      </c>
      <c r="N13">
        <v>353.55</v>
      </c>
      <c r="O13">
        <v>336.05</v>
      </c>
      <c r="P13">
        <v>367.55</v>
      </c>
      <c r="Q13">
        <v>385.05</v>
      </c>
      <c r="R13">
        <v>20</v>
      </c>
      <c r="S13" t="s">
        <v>85</v>
      </c>
    </row>
    <row r="14" spans="1:19" x14ac:dyDescent="0.2">
      <c r="A14" t="s">
        <v>97</v>
      </c>
      <c r="B14" s="2">
        <v>46024</v>
      </c>
      <c r="C14">
        <v>1728</v>
      </c>
      <c r="D14">
        <v>1728</v>
      </c>
      <c r="E14">
        <v>0</v>
      </c>
      <c r="F14">
        <v>52.16</v>
      </c>
      <c r="G14">
        <v>5.24</v>
      </c>
      <c r="H14">
        <v>1754.17</v>
      </c>
      <c r="I14">
        <v>-1.49</v>
      </c>
      <c r="J14">
        <v>0.74</v>
      </c>
      <c r="K14">
        <v>0.65</v>
      </c>
      <c r="L14" t="s">
        <v>20</v>
      </c>
      <c r="M14">
        <v>1736.63</v>
      </c>
      <c r="N14">
        <v>1745.28</v>
      </c>
      <c r="O14">
        <v>1658.88</v>
      </c>
      <c r="P14">
        <v>1814.4</v>
      </c>
      <c r="Q14">
        <v>1900.8</v>
      </c>
      <c r="R14">
        <v>48</v>
      </c>
      <c r="S14" t="s">
        <v>85</v>
      </c>
    </row>
    <row r="15" spans="1:19" x14ac:dyDescent="0.2">
      <c r="A15" t="s">
        <v>98</v>
      </c>
      <c r="B15" s="2">
        <v>46024</v>
      </c>
      <c r="C15">
        <v>3250.7</v>
      </c>
      <c r="D15">
        <v>3250.7</v>
      </c>
      <c r="E15">
        <v>0</v>
      </c>
      <c r="F15">
        <v>53.91</v>
      </c>
      <c r="G15">
        <v>46.76</v>
      </c>
      <c r="H15">
        <v>3171.53</v>
      </c>
      <c r="I15">
        <v>2.5</v>
      </c>
      <c r="J15">
        <v>0.8</v>
      </c>
      <c r="K15">
        <v>0.65</v>
      </c>
      <c r="L15" t="s">
        <v>20</v>
      </c>
      <c r="M15">
        <v>3201.94</v>
      </c>
      <c r="N15">
        <v>3283.21</v>
      </c>
      <c r="O15">
        <v>3076.38</v>
      </c>
      <c r="P15">
        <v>3413.23</v>
      </c>
      <c r="Q15">
        <v>3575.77</v>
      </c>
      <c r="R15">
        <v>50</v>
      </c>
      <c r="S15" t="s">
        <v>85</v>
      </c>
    </row>
    <row r="16" spans="1:19" x14ac:dyDescent="0.2">
      <c r="A16" t="s">
        <v>99</v>
      </c>
      <c r="B16" s="2">
        <v>46024</v>
      </c>
      <c r="C16">
        <v>1439.9</v>
      </c>
      <c r="D16">
        <v>1439.9</v>
      </c>
      <c r="E16">
        <v>0</v>
      </c>
      <c r="F16">
        <v>42.19</v>
      </c>
      <c r="G16">
        <v>-4.09</v>
      </c>
      <c r="H16">
        <v>1441.59</v>
      </c>
      <c r="I16">
        <v>-0.12</v>
      </c>
      <c r="J16">
        <v>0.44</v>
      </c>
      <c r="K16">
        <v>0.82</v>
      </c>
      <c r="L16" t="s">
        <v>20</v>
      </c>
      <c r="M16">
        <v>1427.17</v>
      </c>
      <c r="N16">
        <v>1454.3</v>
      </c>
      <c r="O16">
        <v>1382.3</v>
      </c>
      <c r="P16">
        <v>1511.9</v>
      </c>
      <c r="Q16">
        <v>1583.89</v>
      </c>
      <c r="R16">
        <v>20</v>
      </c>
      <c r="S16" t="s">
        <v>85</v>
      </c>
    </row>
    <row r="17" spans="1:19" x14ac:dyDescent="0.2">
      <c r="A17" t="s">
        <v>100</v>
      </c>
      <c r="B17" s="2">
        <v>46024</v>
      </c>
      <c r="C17">
        <v>4406.6000000000004</v>
      </c>
      <c r="D17">
        <v>4406.6000000000004</v>
      </c>
      <c r="E17">
        <v>0</v>
      </c>
      <c r="F17">
        <v>51.98</v>
      </c>
      <c r="G17">
        <v>47.44</v>
      </c>
      <c r="H17">
        <v>4366.28</v>
      </c>
      <c r="I17">
        <v>0.92</v>
      </c>
      <c r="J17">
        <v>0.66</v>
      </c>
      <c r="K17">
        <v>1.02</v>
      </c>
      <c r="L17" t="s">
        <v>20</v>
      </c>
      <c r="M17">
        <v>4340.5</v>
      </c>
      <c r="N17">
        <v>4450.67</v>
      </c>
      <c r="O17">
        <v>4230.34</v>
      </c>
      <c r="P17">
        <v>4626.93</v>
      </c>
      <c r="Q17">
        <v>4847.26</v>
      </c>
      <c r="R17">
        <v>55</v>
      </c>
      <c r="S17" t="s">
        <v>85</v>
      </c>
    </row>
    <row r="18" spans="1:19" x14ac:dyDescent="0.2">
      <c r="A18" t="s">
        <v>101</v>
      </c>
      <c r="B18" s="2">
        <v>46024</v>
      </c>
      <c r="C18">
        <v>27045</v>
      </c>
      <c r="D18">
        <v>27045</v>
      </c>
      <c r="E18">
        <v>0</v>
      </c>
      <c r="F18">
        <v>43.39</v>
      </c>
      <c r="G18">
        <v>-191.33</v>
      </c>
      <c r="H18">
        <v>26661</v>
      </c>
      <c r="I18">
        <v>1.44</v>
      </c>
      <c r="J18">
        <v>1.78</v>
      </c>
      <c r="K18">
        <v>0.83</v>
      </c>
      <c r="L18" t="s">
        <v>20</v>
      </c>
      <c r="M18">
        <v>26639.32</v>
      </c>
      <c r="N18">
        <v>27315.45</v>
      </c>
      <c r="O18">
        <v>25861.17</v>
      </c>
      <c r="P18">
        <v>28397.25</v>
      </c>
      <c r="Q18">
        <v>29749.5</v>
      </c>
      <c r="R18">
        <v>40</v>
      </c>
      <c r="S18" t="s">
        <v>85</v>
      </c>
    </row>
    <row r="19" spans="1:19" x14ac:dyDescent="0.2">
      <c r="A19" t="s">
        <v>102</v>
      </c>
      <c r="B19" s="2">
        <v>46024</v>
      </c>
      <c r="C19">
        <v>1596.4</v>
      </c>
      <c r="D19">
        <v>1596.4</v>
      </c>
      <c r="E19">
        <v>0</v>
      </c>
      <c r="F19">
        <v>27.98</v>
      </c>
      <c r="G19">
        <v>-13.91</v>
      </c>
      <c r="H19">
        <v>1696.27</v>
      </c>
      <c r="I19">
        <v>-5.89</v>
      </c>
      <c r="J19">
        <v>0.26</v>
      </c>
      <c r="K19">
        <v>1.46</v>
      </c>
      <c r="L19" t="s">
        <v>33</v>
      </c>
      <c r="M19">
        <v>1679.31</v>
      </c>
      <c r="N19">
        <v>1612.36</v>
      </c>
      <c r="O19">
        <v>1532.54</v>
      </c>
      <c r="P19">
        <v>1676.22</v>
      </c>
      <c r="Q19">
        <v>1756.04</v>
      </c>
      <c r="R19">
        <v>0</v>
      </c>
      <c r="S19" t="s">
        <v>85</v>
      </c>
    </row>
    <row r="20" spans="1:19" x14ac:dyDescent="0.2">
      <c r="A20" t="s">
        <v>103</v>
      </c>
      <c r="B20" s="2">
        <v>46024</v>
      </c>
      <c r="C20">
        <v>91.12</v>
      </c>
      <c r="D20">
        <v>91.12</v>
      </c>
      <c r="E20">
        <v>0</v>
      </c>
      <c r="F20">
        <v>33.36</v>
      </c>
      <c r="G20">
        <v>-1.37</v>
      </c>
      <c r="H20">
        <v>96.39</v>
      </c>
      <c r="I20">
        <v>-5.47</v>
      </c>
      <c r="J20">
        <v>1.07</v>
      </c>
      <c r="K20">
        <v>1.23</v>
      </c>
      <c r="L20" t="s">
        <v>33</v>
      </c>
      <c r="M20">
        <v>95.43</v>
      </c>
      <c r="N20">
        <v>92.03</v>
      </c>
      <c r="O20">
        <v>87.48</v>
      </c>
      <c r="P20">
        <v>95.68</v>
      </c>
      <c r="Q20">
        <v>100.23</v>
      </c>
      <c r="R20">
        <v>10</v>
      </c>
      <c r="S20" t="s">
        <v>85</v>
      </c>
    </row>
    <row r="21" spans="1:19" x14ac:dyDescent="0.2">
      <c r="A21" t="s">
        <v>104</v>
      </c>
      <c r="B21" s="2">
        <v>46024</v>
      </c>
      <c r="C21">
        <v>916.9</v>
      </c>
      <c r="D21">
        <v>916.9</v>
      </c>
      <c r="E21">
        <v>0</v>
      </c>
      <c r="F21">
        <v>41.82</v>
      </c>
      <c r="G21">
        <v>-8.67</v>
      </c>
      <c r="H21">
        <v>933.85</v>
      </c>
      <c r="I21">
        <v>-1.81</v>
      </c>
      <c r="J21">
        <v>0.55000000000000004</v>
      </c>
      <c r="K21">
        <v>0.63</v>
      </c>
      <c r="L21" t="s">
        <v>20</v>
      </c>
      <c r="M21">
        <v>924.51</v>
      </c>
      <c r="N21">
        <v>926.07</v>
      </c>
      <c r="O21">
        <v>880.22</v>
      </c>
      <c r="P21">
        <v>962.75</v>
      </c>
      <c r="Q21">
        <v>1008.59</v>
      </c>
      <c r="R21">
        <v>20</v>
      </c>
      <c r="S21" t="s">
        <v>85</v>
      </c>
    </row>
    <row r="22" spans="1:19" x14ac:dyDescent="0.2">
      <c r="A22" s="11" t="s">
        <v>105</v>
      </c>
      <c r="B22" s="12">
        <v>46024</v>
      </c>
      <c r="C22" s="11">
        <v>5106</v>
      </c>
      <c r="D22" s="11">
        <v>5106</v>
      </c>
      <c r="E22" s="11">
        <v>0</v>
      </c>
      <c r="F22" s="11">
        <v>41.74</v>
      </c>
      <c r="G22" s="11">
        <v>-108.43</v>
      </c>
      <c r="H22" s="11">
        <v>5442.65</v>
      </c>
      <c r="I22" s="11">
        <v>-6.19</v>
      </c>
      <c r="J22" s="11">
        <v>0.48</v>
      </c>
      <c r="K22" s="11">
        <v>0.57999999999999996</v>
      </c>
      <c r="L22" s="11" t="s">
        <v>20</v>
      </c>
      <c r="M22" s="11">
        <v>5388.22</v>
      </c>
      <c r="N22" s="11">
        <v>5157.0600000000004</v>
      </c>
      <c r="O22" s="11">
        <v>4901.76</v>
      </c>
      <c r="P22" s="11">
        <v>5361.3</v>
      </c>
      <c r="Q22" s="11">
        <v>5616.6</v>
      </c>
      <c r="R22" s="11">
        <v>0</v>
      </c>
      <c r="S22" s="11" t="s">
        <v>85</v>
      </c>
    </row>
    <row r="23" spans="1:19" x14ac:dyDescent="0.2">
      <c r="A23" s="11" t="s">
        <v>106</v>
      </c>
      <c r="B23" s="12">
        <v>46024</v>
      </c>
      <c r="C23" s="11">
        <v>3977.2</v>
      </c>
      <c r="D23" s="11">
        <v>3977.2</v>
      </c>
      <c r="E23" s="11">
        <v>0</v>
      </c>
      <c r="F23" s="11">
        <v>26.69</v>
      </c>
      <c r="G23" s="11">
        <v>-342.81</v>
      </c>
      <c r="H23" s="11">
        <v>5147.67</v>
      </c>
      <c r="I23" s="11">
        <v>-22.74</v>
      </c>
      <c r="J23" s="11">
        <v>0.8</v>
      </c>
      <c r="K23" s="11">
        <v>1.32</v>
      </c>
      <c r="L23" s="11" t="s">
        <v>33</v>
      </c>
      <c r="M23" s="11">
        <v>5096.1899999999996</v>
      </c>
      <c r="N23" s="11">
        <v>4016.97</v>
      </c>
      <c r="O23" s="11">
        <v>3818.11</v>
      </c>
      <c r="P23" s="11">
        <v>4176.0600000000004</v>
      </c>
      <c r="Q23" s="11">
        <v>4374.92</v>
      </c>
      <c r="R23" s="11">
        <v>0</v>
      </c>
      <c r="S23" s="11" t="s">
        <v>85</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F25F-6A64-7140-B466-FCB8ED0A54F5}">
  <sheetPr filterMode="1"/>
  <dimension ref="A1:V58"/>
  <sheetViews>
    <sheetView workbookViewId="0">
      <selection activeCell="S19" sqref="S19"/>
    </sheetView>
  </sheetViews>
  <sheetFormatPr baseColWidth="10" defaultColWidth="8.83203125" defaultRowHeight="15" x14ac:dyDescent="0.2"/>
  <cols>
    <col min="1" max="1" width="29.1640625" customWidth="1"/>
    <col min="2" max="2" width="21" customWidth="1"/>
    <col min="19" max="19" width="48.1640625" customWidth="1"/>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143</v>
      </c>
    </row>
    <row r="2" spans="1:22" hidden="1" x14ac:dyDescent="0.2">
      <c r="A2" t="s">
        <v>24</v>
      </c>
      <c r="B2" s="2">
        <v>46024</v>
      </c>
      <c r="C2">
        <v>1266.9000000000001</v>
      </c>
      <c r="D2">
        <v>1285.8</v>
      </c>
      <c r="E2">
        <v>1.49</v>
      </c>
      <c r="F2">
        <v>62.08</v>
      </c>
      <c r="G2">
        <v>3.17</v>
      </c>
      <c r="H2">
        <v>1254.7</v>
      </c>
      <c r="I2">
        <v>0.97</v>
      </c>
      <c r="J2">
        <v>0.69</v>
      </c>
      <c r="K2">
        <v>1.85</v>
      </c>
      <c r="L2" t="s">
        <v>25</v>
      </c>
      <c r="M2">
        <v>1247.9000000000001</v>
      </c>
      <c r="N2">
        <v>1279.57</v>
      </c>
      <c r="O2">
        <v>1216.22</v>
      </c>
      <c r="P2">
        <v>1330.25</v>
      </c>
      <c r="Q2">
        <v>1393.59</v>
      </c>
      <c r="R2">
        <v>65</v>
      </c>
      <c r="S2" t="s">
        <v>21</v>
      </c>
    </row>
    <row r="3" spans="1:22" hidden="1" x14ac:dyDescent="0.2">
      <c r="A3" t="s">
        <v>26</v>
      </c>
      <c r="B3" s="2">
        <v>46024</v>
      </c>
      <c r="C3">
        <v>9502.5</v>
      </c>
      <c r="D3">
        <v>9497.5</v>
      </c>
      <c r="E3">
        <v>-0.05</v>
      </c>
      <c r="F3">
        <v>65.91</v>
      </c>
      <c r="G3">
        <v>28.24</v>
      </c>
      <c r="H3">
        <v>9011.5499999999993</v>
      </c>
      <c r="I3">
        <v>5.45</v>
      </c>
      <c r="J3">
        <v>1.1200000000000001</v>
      </c>
      <c r="K3">
        <v>1.06</v>
      </c>
      <c r="L3" t="s">
        <v>20</v>
      </c>
      <c r="M3">
        <v>9359.9599999999991</v>
      </c>
      <c r="N3">
        <v>9597.52</v>
      </c>
      <c r="O3">
        <v>8741.2000000000007</v>
      </c>
      <c r="P3">
        <v>9977.6200000000008</v>
      </c>
      <c r="Q3">
        <v>10452.75</v>
      </c>
      <c r="R3">
        <v>85</v>
      </c>
      <c r="S3" t="s">
        <v>21</v>
      </c>
    </row>
    <row r="4" spans="1:22" hidden="1" x14ac:dyDescent="0.2">
      <c r="A4" t="s">
        <v>27</v>
      </c>
      <c r="B4" s="2">
        <v>46024</v>
      </c>
      <c r="C4">
        <v>381.45</v>
      </c>
      <c r="D4">
        <v>377.9</v>
      </c>
      <c r="E4">
        <v>-0.93</v>
      </c>
      <c r="F4">
        <v>72.91</v>
      </c>
      <c r="G4">
        <v>1.99</v>
      </c>
      <c r="H4">
        <v>365.02</v>
      </c>
      <c r="I4">
        <v>4.5</v>
      </c>
      <c r="J4">
        <v>1.08</v>
      </c>
      <c r="K4">
        <v>1.06</v>
      </c>
      <c r="L4" t="s">
        <v>20</v>
      </c>
      <c r="M4">
        <v>375.73</v>
      </c>
      <c r="N4">
        <v>385.26</v>
      </c>
      <c r="O4">
        <v>354.07</v>
      </c>
      <c r="P4">
        <v>400.52</v>
      </c>
      <c r="Q4">
        <v>419.6</v>
      </c>
      <c r="R4">
        <v>63</v>
      </c>
      <c r="S4" t="s">
        <v>21</v>
      </c>
    </row>
    <row r="5" spans="1:22" hidden="1" x14ac:dyDescent="0.2">
      <c r="A5" t="s">
        <v>28</v>
      </c>
      <c r="B5" s="2">
        <v>46024</v>
      </c>
      <c r="C5">
        <v>2106.3000000000002</v>
      </c>
      <c r="D5">
        <v>2105</v>
      </c>
      <c r="E5">
        <v>-0.06</v>
      </c>
      <c r="F5">
        <v>62.37</v>
      </c>
      <c r="G5">
        <v>0.56999999999999995</v>
      </c>
      <c r="H5">
        <v>2092.23</v>
      </c>
      <c r="I5">
        <v>0.67</v>
      </c>
      <c r="J5">
        <v>0.57999999999999996</v>
      </c>
      <c r="K5">
        <v>0.93</v>
      </c>
      <c r="L5" t="s">
        <v>20</v>
      </c>
      <c r="M5">
        <v>2074.71</v>
      </c>
      <c r="N5">
        <v>2127.36</v>
      </c>
      <c r="O5">
        <v>2022.05</v>
      </c>
      <c r="P5">
        <v>2211.62</v>
      </c>
      <c r="Q5">
        <v>2316.9299999999998</v>
      </c>
      <c r="R5">
        <v>65</v>
      </c>
      <c r="S5" t="s">
        <v>21</v>
      </c>
    </row>
    <row r="6" spans="1:22" hidden="1" x14ac:dyDescent="0.2">
      <c r="A6" t="s">
        <v>29</v>
      </c>
      <c r="B6" s="2">
        <v>46024</v>
      </c>
      <c r="C6">
        <v>1511.6</v>
      </c>
      <c r="D6">
        <v>1519.8</v>
      </c>
      <c r="E6">
        <v>0.54</v>
      </c>
      <c r="F6">
        <v>48.29</v>
      </c>
      <c r="G6">
        <v>-5.72</v>
      </c>
      <c r="H6">
        <v>1515.51</v>
      </c>
      <c r="I6">
        <v>-0.26</v>
      </c>
      <c r="J6">
        <v>0.88</v>
      </c>
      <c r="K6">
        <v>1.62</v>
      </c>
      <c r="L6" t="s">
        <v>25</v>
      </c>
      <c r="M6">
        <v>1500.35</v>
      </c>
      <c r="N6">
        <v>1526.72</v>
      </c>
      <c r="O6">
        <v>1451.14</v>
      </c>
      <c r="P6">
        <v>1587.18</v>
      </c>
      <c r="Q6">
        <v>1662.76</v>
      </c>
      <c r="R6">
        <v>35</v>
      </c>
      <c r="S6" t="s">
        <v>30</v>
      </c>
    </row>
    <row r="7" spans="1:22" hidden="1" x14ac:dyDescent="0.2">
      <c r="A7" t="s">
        <v>31</v>
      </c>
      <c r="B7" s="2">
        <v>46024</v>
      </c>
      <c r="C7">
        <v>427.9</v>
      </c>
      <c r="D7">
        <v>427.45</v>
      </c>
      <c r="E7">
        <v>-0.11</v>
      </c>
      <c r="F7">
        <v>72.900000000000006</v>
      </c>
      <c r="G7">
        <v>4.08</v>
      </c>
      <c r="H7">
        <v>387.46</v>
      </c>
      <c r="I7">
        <v>10.44</v>
      </c>
      <c r="J7">
        <v>1.96</v>
      </c>
      <c r="K7">
        <v>1.54</v>
      </c>
      <c r="L7" t="s">
        <v>25</v>
      </c>
      <c r="M7">
        <v>421.48</v>
      </c>
      <c r="N7">
        <v>432.18</v>
      </c>
      <c r="O7">
        <v>375.84</v>
      </c>
      <c r="P7">
        <v>449.29</v>
      </c>
      <c r="Q7">
        <v>470.69</v>
      </c>
      <c r="R7">
        <v>63</v>
      </c>
      <c r="S7" t="s">
        <v>21</v>
      </c>
    </row>
    <row r="8" spans="1:22" hidden="1" x14ac:dyDescent="0.2">
      <c r="A8" t="s">
        <v>32</v>
      </c>
      <c r="B8" s="2">
        <v>46024</v>
      </c>
      <c r="C8">
        <v>2856.4</v>
      </c>
      <c r="D8">
        <v>2848.9</v>
      </c>
      <c r="E8">
        <v>-0.26</v>
      </c>
      <c r="F8">
        <v>56.93</v>
      </c>
      <c r="G8">
        <v>-2.17</v>
      </c>
      <c r="H8">
        <v>2794.42</v>
      </c>
      <c r="I8">
        <v>2.2200000000000002</v>
      </c>
      <c r="J8">
        <v>1.1100000000000001</v>
      </c>
      <c r="K8">
        <v>1.71</v>
      </c>
      <c r="L8" t="s">
        <v>25</v>
      </c>
      <c r="M8">
        <v>2813.55</v>
      </c>
      <c r="N8">
        <v>2884.96</v>
      </c>
      <c r="O8">
        <v>2710.59</v>
      </c>
      <c r="P8">
        <v>2999.22</v>
      </c>
      <c r="Q8">
        <v>3142.04</v>
      </c>
      <c r="R8">
        <v>48</v>
      </c>
      <c r="S8" t="s">
        <v>30</v>
      </c>
    </row>
    <row r="9" spans="1:22" ht="16" x14ac:dyDescent="0.2">
      <c r="A9" s="20" t="s">
        <v>34</v>
      </c>
      <c r="B9" s="2">
        <v>46024</v>
      </c>
      <c r="C9">
        <v>1640.2</v>
      </c>
      <c r="D9">
        <v>1607.6</v>
      </c>
      <c r="E9">
        <v>-1.99</v>
      </c>
      <c r="F9">
        <v>58.05</v>
      </c>
      <c r="G9">
        <v>19.97</v>
      </c>
      <c r="H9">
        <v>1618.04</v>
      </c>
      <c r="I9">
        <v>1.37</v>
      </c>
      <c r="J9">
        <v>0.67</v>
      </c>
      <c r="K9">
        <v>2.21</v>
      </c>
      <c r="L9" t="s">
        <v>25</v>
      </c>
      <c r="M9">
        <v>1615.6</v>
      </c>
      <c r="N9">
        <v>1656.6</v>
      </c>
      <c r="O9">
        <v>1569.5</v>
      </c>
      <c r="P9">
        <v>1722.21</v>
      </c>
      <c r="Q9">
        <v>1804.22</v>
      </c>
      <c r="R9">
        <v>66</v>
      </c>
      <c r="S9" s="24" t="s">
        <v>144</v>
      </c>
      <c r="V9">
        <f>D9-M9</f>
        <v>-8</v>
      </c>
    </row>
    <row r="10" spans="1:22" hidden="1" x14ac:dyDescent="0.2">
      <c r="A10" t="s">
        <v>35</v>
      </c>
      <c r="B10" s="2">
        <v>46024</v>
      </c>
      <c r="C10">
        <v>1001.6</v>
      </c>
      <c r="D10">
        <v>977.5</v>
      </c>
      <c r="E10">
        <v>-2.41</v>
      </c>
      <c r="F10">
        <v>57.67</v>
      </c>
      <c r="G10">
        <v>-1.78</v>
      </c>
      <c r="H10">
        <v>994.88</v>
      </c>
      <c r="I10">
        <v>0.67</v>
      </c>
      <c r="J10">
        <v>0.88</v>
      </c>
      <c r="K10">
        <v>1.9</v>
      </c>
      <c r="L10" t="s">
        <v>25</v>
      </c>
      <c r="M10">
        <v>986.58</v>
      </c>
      <c r="N10">
        <v>1011.62</v>
      </c>
      <c r="O10">
        <v>961.54</v>
      </c>
      <c r="P10">
        <v>1051.68</v>
      </c>
      <c r="Q10">
        <v>1101.76</v>
      </c>
      <c r="R10">
        <v>43</v>
      </c>
      <c r="S10" t="s">
        <v>30</v>
      </c>
    </row>
    <row r="11" spans="1:22" hidden="1" x14ac:dyDescent="0.2">
      <c r="A11" t="s">
        <v>36</v>
      </c>
      <c r="B11" s="2">
        <v>46024</v>
      </c>
      <c r="C11">
        <v>925.7</v>
      </c>
      <c r="D11">
        <v>931.7</v>
      </c>
      <c r="E11">
        <v>0.65</v>
      </c>
      <c r="F11">
        <v>74.77</v>
      </c>
      <c r="G11">
        <v>8.43</v>
      </c>
      <c r="H11">
        <v>835.4</v>
      </c>
      <c r="I11">
        <v>10.81</v>
      </c>
      <c r="J11">
        <v>1.47</v>
      </c>
      <c r="K11">
        <v>0.99</v>
      </c>
      <c r="L11" t="s">
        <v>20</v>
      </c>
      <c r="M11">
        <v>911.81</v>
      </c>
      <c r="N11">
        <v>934.96</v>
      </c>
      <c r="O11">
        <v>810.33</v>
      </c>
      <c r="P11">
        <v>971.99</v>
      </c>
      <c r="Q11">
        <v>1018.27</v>
      </c>
      <c r="R11">
        <v>66</v>
      </c>
      <c r="S11" t="s">
        <v>21</v>
      </c>
    </row>
    <row r="12" spans="1:22" hidden="1" x14ac:dyDescent="0.2">
      <c r="A12" t="s">
        <v>37</v>
      </c>
      <c r="B12" s="2">
        <v>46024</v>
      </c>
      <c r="C12">
        <v>2348</v>
      </c>
      <c r="D12">
        <v>2384.1</v>
      </c>
      <c r="E12">
        <v>1.54</v>
      </c>
      <c r="F12">
        <v>45.09</v>
      </c>
      <c r="G12">
        <v>-26.51</v>
      </c>
      <c r="H12">
        <v>2370.09</v>
      </c>
      <c r="I12">
        <v>-0.93</v>
      </c>
      <c r="J12">
        <v>0.76</v>
      </c>
      <c r="K12">
        <v>1.46</v>
      </c>
      <c r="L12" t="s">
        <v>33</v>
      </c>
      <c r="M12">
        <v>2346.39</v>
      </c>
      <c r="N12">
        <v>2371.48</v>
      </c>
      <c r="O12">
        <v>2254.08</v>
      </c>
      <c r="P12">
        <v>2465.4</v>
      </c>
      <c r="Q12">
        <v>2582.8000000000002</v>
      </c>
      <c r="R12">
        <v>35</v>
      </c>
      <c r="S12" t="s">
        <v>30</v>
      </c>
    </row>
    <row r="13" spans="1:22" hidden="1" x14ac:dyDescent="0.2">
      <c r="A13" t="s">
        <v>38</v>
      </c>
      <c r="B13" s="2">
        <v>46024</v>
      </c>
      <c r="C13">
        <v>1355.4</v>
      </c>
      <c r="D13">
        <v>1371.5</v>
      </c>
      <c r="E13">
        <v>1.19</v>
      </c>
      <c r="F13">
        <v>45.89</v>
      </c>
      <c r="G13">
        <v>-5.38</v>
      </c>
      <c r="H13">
        <v>1363.8</v>
      </c>
      <c r="I13">
        <v>-0.62</v>
      </c>
      <c r="J13">
        <v>0.86</v>
      </c>
      <c r="K13">
        <v>0.97</v>
      </c>
      <c r="L13" t="s">
        <v>20</v>
      </c>
      <c r="M13">
        <v>1350.16</v>
      </c>
      <c r="N13">
        <v>1368.95</v>
      </c>
      <c r="O13">
        <v>1301.18</v>
      </c>
      <c r="P13">
        <v>1423.17</v>
      </c>
      <c r="Q13">
        <v>1490.94</v>
      </c>
      <c r="R13">
        <v>35</v>
      </c>
      <c r="S13" t="s">
        <v>30</v>
      </c>
    </row>
    <row r="14" spans="1:22" hidden="1" x14ac:dyDescent="0.2">
      <c r="A14" t="s">
        <v>39</v>
      </c>
      <c r="B14" s="2">
        <v>46024</v>
      </c>
      <c r="C14">
        <v>902.45</v>
      </c>
      <c r="D14">
        <v>899.95</v>
      </c>
      <c r="E14">
        <v>-0.28000000000000003</v>
      </c>
      <c r="F14">
        <v>63.89</v>
      </c>
      <c r="G14">
        <v>15.58</v>
      </c>
      <c r="H14">
        <v>845.86</v>
      </c>
      <c r="I14">
        <v>6.69</v>
      </c>
      <c r="J14">
        <v>1.07</v>
      </c>
      <c r="K14">
        <v>0.84</v>
      </c>
      <c r="L14" t="s">
        <v>20</v>
      </c>
      <c r="M14">
        <v>888.91</v>
      </c>
      <c r="N14">
        <v>911.47</v>
      </c>
      <c r="O14">
        <v>820.49</v>
      </c>
      <c r="P14">
        <v>947.57</v>
      </c>
      <c r="Q14">
        <v>992.7</v>
      </c>
      <c r="R14">
        <v>68</v>
      </c>
      <c r="S14" t="s">
        <v>21</v>
      </c>
    </row>
    <row r="15" spans="1:22" ht="16" x14ac:dyDescent="0.2">
      <c r="A15" s="24" t="s">
        <v>40</v>
      </c>
      <c r="B15" s="2">
        <v>46024</v>
      </c>
      <c r="C15">
        <v>1640.4</v>
      </c>
      <c r="D15">
        <v>1606.4</v>
      </c>
      <c r="E15">
        <v>-2.0699999999999998</v>
      </c>
      <c r="F15">
        <v>60.3</v>
      </c>
      <c r="G15">
        <v>23.79</v>
      </c>
      <c r="H15">
        <v>1571.66</v>
      </c>
      <c r="I15">
        <v>4.37</v>
      </c>
      <c r="J15">
        <v>0.68</v>
      </c>
      <c r="K15">
        <v>1.32</v>
      </c>
      <c r="L15" t="s">
        <v>33</v>
      </c>
      <c r="M15">
        <v>1615.79</v>
      </c>
      <c r="N15">
        <v>1656.8</v>
      </c>
      <c r="O15">
        <v>1524.51</v>
      </c>
      <c r="P15">
        <v>1722.42</v>
      </c>
      <c r="Q15">
        <v>1804.44</v>
      </c>
      <c r="R15">
        <v>75</v>
      </c>
      <c r="S15" s="24" t="s">
        <v>145</v>
      </c>
      <c r="V15">
        <f>D15-M15</f>
        <v>-9.3899999999998727</v>
      </c>
    </row>
    <row r="16" spans="1:22" hidden="1" x14ac:dyDescent="0.2">
      <c r="A16" t="s">
        <v>41</v>
      </c>
      <c r="B16" s="2">
        <v>46024</v>
      </c>
      <c r="C16">
        <v>1180.7</v>
      </c>
      <c r="D16">
        <v>1185.9000000000001</v>
      </c>
      <c r="E16">
        <v>0.44</v>
      </c>
      <c r="F16">
        <v>60.29</v>
      </c>
      <c r="G16">
        <v>-7.14</v>
      </c>
      <c r="H16">
        <v>1148.8499999999999</v>
      </c>
      <c r="I16">
        <v>2.77</v>
      </c>
      <c r="J16">
        <v>1.64</v>
      </c>
      <c r="K16">
        <v>0.61</v>
      </c>
      <c r="L16" t="s">
        <v>20</v>
      </c>
      <c r="M16">
        <v>1162.99</v>
      </c>
      <c r="N16">
        <v>1192.51</v>
      </c>
      <c r="O16">
        <v>1114.3800000000001</v>
      </c>
      <c r="P16">
        <v>1239.73</v>
      </c>
      <c r="Q16">
        <v>1298.77</v>
      </c>
      <c r="R16">
        <v>65</v>
      </c>
      <c r="S16" t="s">
        <v>30</v>
      </c>
    </row>
    <row r="17" spans="1:22" hidden="1" x14ac:dyDescent="0.2">
      <c r="A17" t="s">
        <v>42</v>
      </c>
      <c r="B17" s="2">
        <v>46024</v>
      </c>
      <c r="C17">
        <v>2195.1</v>
      </c>
      <c r="D17">
        <v>2190.9</v>
      </c>
      <c r="E17">
        <v>-0.19</v>
      </c>
      <c r="F17">
        <v>60.38</v>
      </c>
      <c r="G17">
        <v>7.33</v>
      </c>
      <c r="H17">
        <v>2133.27</v>
      </c>
      <c r="I17">
        <v>2.9</v>
      </c>
      <c r="J17">
        <v>0.9</v>
      </c>
      <c r="K17">
        <v>1.1299999999999999</v>
      </c>
      <c r="L17" t="s">
        <v>20</v>
      </c>
      <c r="M17">
        <v>2162.17</v>
      </c>
      <c r="N17">
        <v>2217.0500000000002</v>
      </c>
      <c r="O17">
        <v>2069.27</v>
      </c>
      <c r="P17">
        <v>2304.86</v>
      </c>
      <c r="Q17">
        <v>2414.61</v>
      </c>
      <c r="R17">
        <v>68</v>
      </c>
      <c r="S17" t="s">
        <v>21</v>
      </c>
    </row>
    <row r="18" spans="1:22" hidden="1" x14ac:dyDescent="0.2">
      <c r="A18" t="s">
        <v>43</v>
      </c>
      <c r="B18" s="2">
        <v>46024</v>
      </c>
      <c r="C18">
        <v>4163.3999999999996</v>
      </c>
      <c r="D18">
        <v>4150.3999999999996</v>
      </c>
      <c r="E18">
        <v>-0.31</v>
      </c>
      <c r="F18">
        <v>69.349999999999994</v>
      </c>
      <c r="G18">
        <v>15.51</v>
      </c>
      <c r="H18">
        <v>4040.88</v>
      </c>
      <c r="I18">
        <v>3.03</v>
      </c>
      <c r="J18">
        <v>0.77</v>
      </c>
      <c r="K18">
        <v>1.1200000000000001</v>
      </c>
      <c r="L18" t="s">
        <v>20</v>
      </c>
      <c r="M18">
        <v>4100.95</v>
      </c>
      <c r="N18">
        <v>4205.03</v>
      </c>
      <c r="O18">
        <v>3919.65</v>
      </c>
      <c r="P18">
        <v>4371.57</v>
      </c>
      <c r="Q18">
        <v>4579.74</v>
      </c>
      <c r="R18">
        <v>68</v>
      </c>
      <c r="S18" t="s">
        <v>21</v>
      </c>
    </row>
    <row r="19" spans="1:22" x14ac:dyDescent="0.2">
      <c r="A19" t="s">
        <v>44</v>
      </c>
      <c r="B19" s="2">
        <v>46024</v>
      </c>
      <c r="C19">
        <v>3802.4</v>
      </c>
      <c r="D19">
        <v>3790.3</v>
      </c>
      <c r="E19">
        <v>-0.32</v>
      </c>
      <c r="F19">
        <v>63.48</v>
      </c>
      <c r="G19">
        <v>-10.15</v>
      </c>
      <c r="H19">
        <v>3680.87</v>
      </c>
      <c r="I19">
        <v>3.3</v>
      </c>
      <c r="J19">
        <v>0.74</v>
      </c>
      <c r="K19">
        <v>1.25</v>
      </c>
      <c r="L19" t="s">
        <v>33</v>
      </c>
      <c r="M19">
        <v>3745.36</v>
      </c>
      <c r="N19">
        <v>3840.42</v>
      </c>
      <c r="O19">
        <v>3570.44</v>
      </c>
      <c r="P19">
        <v>3992.52</v>
      </c>
      <c r="Q19">
        <v>4182.6400000000003</v>
      </c>
      <c r="R19">
        <v>45</v>
      </c>
      <c r="S19" t="s">
        <v>30</v>
      </c>
      <c r="V19">
        <f>D19-M19</f>
        <v>44.940000000000055</v>
      </c>
    </row>
    <row r="20" spans="1:22" hidden="1" x14ac:dyDescent="0.2">
      <c r="A20" t="s">
        <v>45</v>
      </c>
      <c r="B20" s="2">
        <v>46024</v>
      </c>
      <c r="C20">
        <v>16960</v>
      </c>
      <c r="D20">
        <v>17155</v>
      </c>
      <c r="E20">
        <v>1.1499999999999999</v>
      </c>
      <c r="F20">
        <v>73.040000000000006</v>
      </c>
      <c r="G20">
        <v>-24.21</v>
      </c>
      <c r="H20">
        <v>16200</v>
      </c>
      <c r="I20">
        <v>4.6900000000000004</v>
      </c>
      <c r="J20">
        <v>1.08</v>
      </c>
      <c r="K20">
        <v>0.96</v>
      </c>
      <c r="L20" t="s">
        <v>20</v>
      </c>
      <c r="M20">
        <v>16705.599999999999</v>
      </c>
      <c r="N20">
        <v>17129.599999999999</v>
      </c>
      <c r="O20">
        <v>15714</v>
      </c>
      <c r="P20">
        <v>17808</v>
      </c>
      <c r="Q20">
        <v>18656</v>
      </c>
      <c r="R20">
        <v>48</v>
      </c>
      <c r="S20" t="s">
        <v>30</v>
      </c>
    </row>
    <row r="21" spans="1:22" x14ac:dyDescent="0.2">
      <c r="A21" t="s">
        <v>46</v>
      </c>
      <c r="B21" s="2">
        <v>46024</v>
      </c>
      <c r="C21">
        <v>1279.7</v>
      </c>
      <c r="D21">
        <v>1314.6</v>
      </c>
      <c r="E21">
        <v>2.73</v>
      </c>
      <c r="F21">
        <v>59.93</v>
      </c>
      <c r="G21">
        <v>1.1000000000000001</v>
      </c>
      <c r="H21">
        <v>1262.96</v>
      </c>
      <c r="I21">
        <v>1.33</v>
      </c>
      <c r="J21">
        <v>0.94</v>
      </c>
      <c r="K21">
        <v>2.2999999999999998</v>
      </c>
      <c r="L21" t="s">
        <v>25</v>
      </c>
      <c r="M21">
        <v>1260.5</v>
      </c>
      <c r="N21">
        <v>1292.5</v>
      </c>
      <c r="O21">
        <v>1225.07</v>
      </c>
      <c r="P21">
        <v>1343.68</v>
      </c>
      <c r="Q21">
        <v>1407.67</v>
      </c>
      <c r="R21">
        <v>58</v>
      </c>
      <c r="S21" t="s">
        <v>21</v>
      </c>
      <c r="V21">
        <f>D21-M21</f>
        <v>54.099999999999909</v>
      </c>
    </row>
    <row r="22" spans="1:22" hidden="1" x14ac:dyDescent="0.2">
      <c r="A22" t="s">
        <v>47</v>
      </c>
      <c r="B22" s="2">
        <v>46024</v>
      </c>
      <c r="C22">
        <v>352.1</v>
      </c>
      <c r="D22">
        <v>350.6</v>
      </c>
      <c r="E22">
        <v>-0.43</v>
      </c>
      <c r="F22">
        <v>63.78</v>
      </c>
      <c r="G22">
        <v>1.07</v>
      </c>
      <c r="H22">
        <v>328.62</v>
      </c>
      <c r="I22">
        <v>7.14</v>
      </c>
      <c r="J22">
        <v>1.57</v>
      </c>
      <c r="K22">
        <v>1.86</v>
      </c>
      <c r="L22" t="s">
        <v>25</v>
      </c>
      <c r="M22">
        <v>346.82</v>
      </c>
      <c r="N22">
        <v>355.62</v>
      </c>
      <c r="O22">
        <v>318.76</v>
      </c>
      <c r="P22">
        <v>369.71</v>
      </c>
      <c r="Q22">
        <v>387.31</v>
      </c>
      <c r="R22">
        <v>65</v>
      </c>
      <c r="S22" t="s">
        <v>30</v>
      </c>
    </row>
    <row r="23" spans="1:22" x14ac:dyDescent="0.2">
      <c r="A23" t="s">
        <v>48</v>
      </c>
      <c r="B23" s="2">
        <v>46024</v>
      </c>
      <c r="C23">
        <v>241.46</v>
      </c>
      <c r="D23">
        <v>238.09</v>
      </c>
      <c r="E23">
        <v>-1.4</v>
      </c>
      <c r="F23">
        <v>52.92</v>
      </c>
      <c r="G23">
        <v>-0.51</v>
      </c>
      <c r="H23">
        <v>242.14</v>
      </c>
      <c r="I23">
        <v>-0.28000000000000003</v>
      </c>
      <c r="J23">
        <v>1.06</v>
      </c>
      <c r="K23">
        <v>2.75</v>
      </c>
      <c r="L23" t="s">
        <v>25</v>
      </c>
      <c r="M23">
        <v>239.71</v>
      </c>
      <c r="N23">
        <v>243.87</v>
      </c>
      <c r="O23">
        <v>231.8</v>
      </c>
      <c r="P23">
        <v>253.53</v>
      </c>
      <c r="Q23">
        <v>265.61</v>
      </c>
      <c r="R23">
        <v>45</v>
      </c>
      <c r="S23" t="s">
        <v>30</v>
      </c>
      <c r="V23">
        <f>D23-M23</f>
        <v>-1.6200000000000045</v>
      </c>
    </row>
    <row r="24" spans="1:22" hidden="1" x14ac:dyDescent="0.2">
      <c r="A24" t="s">
        <v>49</v>
      </c>
      <c r="B24" s="2">
        <v>46024</v>
      </c>
      <c r="C24">
        <v>270.95</v>
      </c>
      <c r="D24">
        <v>271.64999999999998</v>
      </c>
      <c r="E24">
        <v>0.26</v>
      </c>
      <c r="F24">
        <v>45.11</v>
      </c>
      <c r="G24">
        <v>-0.84</v>
      </c>
      <c r="H24">
        <v>270.3</v>
      </c>
      <c r="I24">
        <v>0.24</v>
      </c>
      <c r="J24">
        <v>0.74</v>
      </c>
      <c r="K24">
        <v>1.53</v>
      </c>
      <c r="L24" t="s">
        <v>25</v>
      </c>
      <c r="M24">
        <v>267.60000000000002</v>
      </c>
      <c r="N24">
        <v>273.66000000000003</v>
      </c>
      <c r="O24">
        <v>260.11</v>
      </c>
      <c r="P24">
        <v>284.5</v>
      </c>
      <c r="Q24">
        <v>298.05</v>
      </c>
      <c r="R24">
        <v>35</v>
      </c>
      <c r="S24" t="s">
        <v>30</v>
      </c>
    </row>
    <row r="25" spans="1:22" s="24" customFormat="1" ht="16" x14ac:dyDescent="0.2">
      <c r="A25" s="24" t="s">
        <v>50</v>
      </c>
      <c r="B25" s="25">
        <v>46024</v>
      </c>
      <c r="C25" s="24">
        <v>1592.3</v>
      </c>
      <c r="D25" s="24">
        <v>1578.1</v>
      </c>
      <c r="E25" s="24">
        <v>-0.89</v>
      </c>
      <c r="F25" s="24">
        <v>68.42</v>
      </c>
      <c r="G25" s="24">
        <v>10.76</v>
      </c>
      <c r="H25" s="24">
        <v>1541.11</v>
      </c>
      <c r="I25" s="24">
        <v>3.32</v>
      </c>
      <c r="J25" s="24">
        <v>0.7</v>
      </c>
      <c r="K25" s="24">
        <v>1.43</v>
      </c>
      <c r="L25" s="24" t="s">
        <v>33</v>
      </c>
      <c r="M25" s="24">
        <v>1568.42</v>
      </c>
      <c r="N25" s="24">
        <v>1608.22</v>
      </c>
      <c r="O25" s="24">
        <v>1494.88</v>
      </c>
      <c r="P25" s="24">
        <v>1671.92</v>
      </c>
      <c r="Q25" s="24">
        <v>1751.53</v>
      </c>
      <c r="R25" s="24">
        <v>68</v>
      </c>
      <c r="S25" s="24" t="s">
        <v>146</v>
      </c>
      <c r="V25" s="24">
        <f>D25-M25</f>
        <v>9.6799999999998363</v>
      </c>
    </row>
    <row r="26" spans="1:22" hidden="1" x14ac:dyDescent="0.2">
      <c r="A26" t="s">
        <v>51</v>
      </c>
      <c r="B26" s="2">
        <v>46024</v>
      </c>
      <c r="C26">
        <v>998.95</v>
      </c>
      <c r="D26">
        <v>1005.55</v>
      </c>
      <c r="E26">
        <v>0.66</v>
      </c>
      <c r="F26">
        <v>75.03</v>
      </c>
      <c r="G26">
        <v>4.21</v>
      </c>
      <c r="H26">
        <v>969.25</v>
      </c>
      <c r="I26">
        <v>3.06</v>
      </c>
      <c r="J26">
        <v>0.89</v>
      </c>
      <c r="K26">
        <v>1.83</v>
      </c>
      <c r="L26" t="s">
        <v>25</v>
      </c>
      <c r="M26">
        <v>983.97</v>
      </c>
      <c r="N26">
        <v>1008.94</v>
      </c>
      <c r="O26">
        <v>940.17</v>
      </c>
      <c r="P26">
        <v>1048.9000000000001</v>
      </c>
      <c r="Q26">
        <v>1098.8499999999999</v>
      </c>
      <c r="R26">
        <v>53</v>
      </c>
      <c r="S26" t="s">
        <v>21</v>
      </c>
    </row>
    <row r="27" spans="1:22" x14ac:dyDescent="0.2">
      <c r="A27" t="s">
        <v>52</v>
      </c>
      <c r="B27" s="2">
        <v>46024</v>
      </c>
      <c r="C27">
        <v>182.88</v>
      </c>
      <c r="D27">
        <v>185.72</v>
      </c>
      <c r="E27">
        <v>1.55</v>
      </c>
      <c r="F27">
        <v>63.79</v>
      </c>
      <c r="G27">
        <v>-0.5</v>
      </c>
      <c r="H27">
        <v>173.41</v>
      </c>
      <c r="I27">
        <v>5.46</v>
      </c>
      <c r="J27">
        <v>1.52</v>
      </c>
      <c r="K27">
        <v>1.18</v>
      </c>
      <c r="L27" t="s">
        <v>20</v>
      </c>
      <c r="M27">
        <v>180.14</v>
      </c>
      <c r="N27">
        <v>184.71</v>
      </c>
      <c r="O27">
        <v>168.21</v>
      </c>
      <c r="P27">
        <v>192.02</v>
      </c>
      <c r="Q27">
        <v>201.17</v>
      </c>
      <c r="R27">
        <v>65</v>
      </c>
      <c r="S27" t="s">
        <v>30</v>
      </c>
      <c r="V27">
        <f>D27-M27</f>
        <v>5.5800000000000125</v>
      </c>
    </row>
    <row r="28" spans="1:22" hidden="1" x14ac:dyDescent="0.2">
      <c r="A28" t="s">
        <v>53</v>
      </c>
      <c r="B28" s="2">
        <v>46024</v>
      </c>
      <c r="C28">
        <v>1612</v>
      </c>
      <c r="D28">
        <v>1596.9</v>
      </c>
      <c r="E28">
        <v>-0.94</v>
      </c>
      <c r="F28">
        <v>62.07</v>
      </c>
      <c r="G28">
        <v>22.03</v>
      </c>
      <c r="H28">
        <v>1521.51</v>
      </c>
      <c r="I28">
        <v>5.95</v>
      </c>
      <c r="J28">
        <v>0.59</v>
      </c>
      <c r="K28">
        <v>1.1000000000000001</v>
      </c>
      <c r="L28" t="s">
        <v>20</v>
      </c>
      <c r="M28">
        <v>1587.82</v>
      </c>
      <c r="N28">
        <v>1628.12</v>
      </c>
      <c r="O28">
        <v>1475.86</v>
      </c>
      <c r="P28">
        <v>1692.6</v>
      </c>
      <c r="Q28">
        <v>1773.2</v>
      </c>
      <c r="R28">
        <v>75</v>
      </c>
      <c r="S28" t="s">
        <v>21</v>
      </c>
    </row>
    <row r="29" spans="1:22" hidden="1" x14ac:dyDescent="0.2">
      <c r="A29" t="s">
        <v>54</v>
      </c>
      <c r="B29" s="2">
        <v>46024</v>
      </c>
      <c r="C29">
        <v>4051.7</v>
      </c>
      <c r="D29">
        <v>4079.7</v>
      </c>
      <c r="E29">
        <v>0.69</v>
      </c>
      <c r="F29">
        <v>68.17</v>
      </c>
      <c r="G29">
        <v>28.36</v>
      </c>
      <c r="H29">
        <v>3882.44</v>
      </c>
      <c r="I29">
        <v>4.3600000000000003</v>
      </c>
      <c r="J29">
        <v>1.1000000000000001</v>
      </c>
      <c r="K29">
        <v>0.84</v>
      </c>
      <c r="L29" t="s">
        <v>20</v>
      </c>
      <c r="M29">
        <v>3990.92</v>
      </c>
      <c r="N29">
        <v>4092.22</v>
      </c>
      <c r="O29">
        <v>3765.97</v>
      </c>
      <c r="P29">
        <v>4254.28</v>
      </c>
      <c r="Q29">
        <v>4456.87</v>
      </c>
      <c r="R29">
        <v>85</v>
      </c>
      <c r="S29" t="s">
        <v>21</v>
      </c>
    </row>
    <row r="30" spans="1:22" hidden="1" x14ac:dyDescent="0.2">
      <c r="A30" t="s">
        <v>55</v>
      </c>
      <c r="B30" s="2">
        <v>46024</v>
      </c>
      <c r="C30">
        <v>11899</v>
      </c>
      <c r="D30">
        <v>12087</v>
      </c>
      <c r="E30">
        <v>1.58</v>
      </c>
      <c r="F30">
        <v>50.44</v>
      </c>
      <c r="G30">
        <v>-54.92</v>
      </c>
      <c r="H30">
        <v>11750.8</v>
      </c>
      <c r="I30">
        <v>1.26</v>
      </c>
      <c r="J30">
        <v>0.83</v>
      </c>
      <c r="K30">
        <v>1.76</v>
      </c>
      <c r="L30" t="s">
        <v>25</v>
      </c>
      <c r="M30">
        <v>11720.52</v>
      </c>
      <c r="N30">
        <v>12017.99</v>
      </c>
      <c r="O30">
        <v>11398.28</v>
      </c>
      <c r="P30">
        <v>12493.95</v>
      </c>
      <c r="Q30">
        <v>13088.9</v>
      </c>
      <c r="R30">
        <v>35</v>
      </c>
      <c r="S30" t="s">
        <v>30</v>
      </c>
    </row>
    <row r="31" spans="1:22" hidden="1" x14ac:dyDescent="0.2">
      <c r="A31" t="s">
        <v>56</v>
      </c>
      <c r="B31" s="2">
        <v>46024</v>
      </c>
      <c r="C31">
        <v>804.65</v>
      </c>
      <c r="D31">
        <v>805.1</v>
      </c>
      <c r="E31">
        <v>0.06</v>
      </c>
      <c r="F31">
        <v>70.48</v>
      </c>
      <c r="G31">
        <v>5.48</v>
      </c>
      <c r="H31">
        <v>757.38</v>
      </c>
      <c r="I31">
        <v>6.24</v>
      </c>
      <c r="J31">
        <v>1.67</v>
      </c>
      <c r="K31">
        <v>0.69</v>
      </c>
      <c r="L31" t="s">
        <v>20</v>
      </c>
      <c r="M31">
        <v>792.58</v>
      </c>
      <c r="N31">
        <v>812.7</v>
      </c>
      <c r="O31">
        <v>734.66</v>
      </c>
      <c r="P31">
        <v>844.88</v>
      </c>
      <c r="Q31">
        <v>885.12</v>
      </c>
      <c r="R31">
        <v>71</v>
      </c>
      <c r="S31" t="s">
        <v>21</v>
      </c>
    </row>
    <row r="32" spans="1:22" s="24" customFormat="1" ht="16" x14ac:dyDescent="0.2">
      <c r="A32" s="24" t="s">
        <v>57</v>
      </c>
      <c r="B32" s="25">
        <v>46024</v>
      </c>
      <c r="C32" s="24">
        <v>269</v>
      </c>
      <c r="D32" s="24">
        <v>263.3</v>
      </c>
      <c r="E32" s="24">
        <v>-2.12</v>
      </c>
      <c r="F32" s="24">
        <v>61.75</v>
      </c>
      <c r="G32" s="24">
        <v>3.39</v>
      </c>
      <c r="H32" s="24">
        <v>253.58</v>
      </c>
      <c r="I32" s="24">
        <v>6.08</v>
      </c>
      <c r="J32" s="24">
        <v>0.65</v>
      </c>
      <c r="K32" s="24">
        <v>1.44</v>
      </c>
      <c r="L32" s="24" t="s">
        <v>33</v>
      </c>
      <c r="M32" s="24">
        <v>264.95999999999998</v>
      </c>
      <c r="N32" s="24">
        <v>271.69</v>
      </c>
      <c r="O32" s="24">
        <v>245.97</v>
      </c>
      <c r="P32" s="24">
        <v>282.45</v>
      </c>
      <c r="Q32" s="24">
        <v>295.89999999999998</v>
      </c>
      <c r="R32" s="24">
        <v>50</v>
      </c>
      <c r="S32" s="24" t="s">
        <v>147</v>
      </c>
      <c r="V32" s="24">
        <f t="shared" ref="V32:V33" si="0">D32-M32</f>
        <v>-1.6599999999999682</v>
      </c>
    </row>
    <row r="33" spans="1:22" x14ac:dyDescent="0.2">
      <c r="A33" t="s">
        <v>58</v>
      </c>
      <c r="B33" s="2">
        <v>46024</v>
      </c>
      <c r="C33">
        <v>5205.5</v>
      </c>
      <c r="D33">
        <v>5168.5</v>
      </c>
      <c r="E33">
        <v>-0.71</v>
      </c>
      <c r="F33">
        <v>46.33</v>
      </c>
      <c r="G33">
        <v>36.81</v>
      </c>
      <c r="H33">
        <v>5147.3</v>
      </c>
      <c r="I33">
        <v>1.1299999999999999</v>
      </c>
      <c r="J33">
        <v>0.36</v>
      </c>
      <c r="K33">
        <v>1.33</v>
      </c>
      <c r="L33" t="s">
        <v>33</v>
      </c>
      <c r="M33">
        <v>5127.42</v>
      </c>
      <c r="N33">
        <v>5257.56</v>
      </c>
      <c r="O33">
        <v>4992.88</v>
      </c>
      <c r="P33">
        <v>5465.78</v>
      </c>
      <c r="Q33">
        <v>5726.05</v>
      </c>
      <c r="R33">
        <v>60</v>
      </c>
      <c r="S33" t="s">
        <v>30</v>
      </c>
      <c r="V33">
        <f t="shared" si="0"/>
        <v>41.079999999999927</v>
      </c>
    </row>
    <row r="34" spans="1:22" hidden="1" x14ac:dyDescent="0.2">
      <c r="A34" t="s">
        <v>59</v>
      </c>
      <c r="B34" s="2">
        <v>46024</v>
      </c>
      <c r="C34">
        <v>1057.9000000000001</v>
      </c>
      <c r="D34">
        <v>1044.9000000000001</v>
      </c>
      <c r="E34">
        <v>-1.23</v>
      </c>
      <c r="F34">
        <v>65.55</v>
      </c>
      <c r="G34">
        <v>9.4</v>
      </c>
      <c r="H34">
        <v>999.16</v>
      </c>
      <c r="I34">
        <v>5.88</v>
      </c>
      <c r="J34">
        <v>0.85</v>
      </c>
      <c r="K34">
        <v>0.85</v>
      </c>
      <c r="L34" t="s">
        <v>20</v>
      </c>
      <c r="M34">
        <v>1042.03</v>
      </c>
      <c r="N34">
        <v>1068.48</v>
      </c>
      <c r="O34">
        <v>969.19</v>
      </c>
      <c r="P34">
        <v>1110.8</v>
      </c>
      <c r="Q34">
        <v>1163.69</v>
      </c>
      <c r="R34">
        <v>68</v>
      </c>
      <c r="S34" t="s">
        <v>21</v>
      </c>
    </row>
    <row r="35" spans="1:22" hidden="1" x14ac:dyDescent="0.2">
      <c r="A35" t="s">
        <v>60</v>
      </c>
      <c r="B35" s="2">
        <v>46024</v>
      </c>
      <c r="C35">
        <v>148.16999999999999</v>
      </c>
      <c r="D35">
        <v>146.19999999999999</v>
      </c>
      <c r="E35">
        <v>-1.33</v>
      </c>
      <c r="F35">
        <v>59.19</v>
      </c>
      <c r="G35">
        <v>-1.93</v>
      </c>
      <c r="H35">
        <v>148.02000000000001</v>
      </c>
      <c r="I35">
        <v>0.1</v>
      </c>
      <c r="J35">
        <v>0.55000000000000004</v>
      </c>
      <c r="K35">
        <v>1.06</v>
      </c>
      <c r="L35" t="s">
        <v>20</v>
      </c>
      <c r="M35">
        <v>146.54</v>
      </c>
      <c r="N35">
        <v>149.65</v>
      </c>
      <c r="O35">
        <v>142.24</v>
      </c>
      <c r="P35">
        <v>155.58000000000001</v>
      </c>
      <c r="Q35">
        <v>162.99</v>
      </c>
      <c r="R35">
        <v>43</v>
      </c>
      <c r="S35" t="s">
        <v>30</v>
      </c>
    </row>
    <row r="36" spans="1:22" hidden="1" x14ac:dyDescent="0.2">
      <c r="A36" t="s">
        <v>61</v>
      </c>
      <c r="B36" s="2">
        <v>46024</v>
      </c>
      <c r="C36">
        <v>1215.4000000000001</v>
      </c>
      <c r="D36">
        <v>1207.4000000000001</v>
      </c>
      <c r="E36">
        <v>-0.66</v>
      </c>
      <c r="F36">
        <v>57.21</v>
      </c>
      <c r="G36">
        <v>11.57</v>
      </c>
      <c r="H36">
        <v>1197.72</v>
      </c>
      <c r="I36">
        <v>1.48</v>
      </c>
      <c r="J36">
        <v>0.74</v>
      </c>
      <c r="K36">
        <v>0.98</v>
      </c>
      <c r="L36" t="s">
        <v>20</v>
      </c>
      <c r="M36">
        <v>1197.17</v>
      </c>
      <c r="N36">
        <v>1227.55</v>
      </c>
      <c r="O36">
        <v>1161.79</v>
      </c>
      <c r="P36">
        <v>1276.17</v>
      </c>
      <c r="Q36">
        <v>1336.94</v>
      </c>
      <c r="R36">
        <v>66</v>
      </c>
      <c r="S36" t="s">
        <v>21</v>
      </c>
    </row>
    <row r="37" spans="1:22" x14ac:dyDescent="0.2">
      <c r="A37" t="s">
        <v>62</v>
      </c>
      <c r="B37" s="2">
        <v>46024</v>
      </c>
      <c r="C37">
        <v>305.05</v>
      </c>
      <c r="D37">
        <v>306.85000000000002</v>
      </c>
      <c r="E37">
        <v>0.59</v>
      </c>
      <c r="F37">
        <v>71.14</v>
      </c>
      <c r="G37">
        <v>1.86</v>
      </c>
      <c r="H37">
        <v>289.05</v>
      </c>
      <c r="I37">
        <v>5.54</v>
      </c>
      <c r="J37">
        <v>1.07</v>
      </c>
      <c r="K37">
        <v>2.25</v>
      </c>
      <c r="L37" t="s">
        <v>25</v>
      </c>
      <c r="M37">
        <v>300.47000000000003</v>
      </c>
      <c r="N37">
        <v>308.10000000000002</v>
      </c>
      <c r="O37">
        <v>280.38</v>
      </c>
      <c r="P37">
        <v>320.3</v>
      </c>
      <c r="Q37">
        <v>335.55</v>
      </c>
      <c r="R37">
        <v>63</v>
      </c>
      <c r="S37" t="s">
        <v>21</v>
      </c>
      <c r="V37">
        <f t="shared" ref="V37:V38" si="1">D37-M37</f>
        <v>6.3799999999999955</v>
      </c>
    </row>
    <row r="38" spans="1:22" x14ac:dyDescent="0.2">
      <c r="A38" t="s">
        <v>63</v>
      </c>
      <c r="B38" s="2">
        <v>46024</v>
      </c>
      <c r="C38">
        <v>39420</v>
      </c>
      <c r="D38">
        <v>39170</v>
      </c>
      <c r="E38">
        <v>-0.63</v>
      </c>
      <c r="F38">
        <v>62.53</v>
      </c>
      <c r="G38">
        <v>-302.7</v>
      </c>
      <c r="H38">
        <v>36847</v>
      </c>
      <c r="I38">
        <v>6.98</v>
      </c>
      <c r="J38">
        <v>2.61</v>
      </c>
      <c r="K38">
        <v>1.1599999999999999</v>
      </c>
      <c r="L38" t="s">
        <v>20</v>
      </c>
      <c r="M38">
        <v>38828.699999999997</v>
      </c>
      <c r="N38">
        <v>39814.199999999997</v>
      </c>
      <c r="O38">
        <v>35741.589999999997</v>
      </c>
      <c r="P38">
        <v>41391</v>
      </c>
      <c r="Q38">
        <v>43362</v>
      </c>
      <c r="R38">
        <v>55</v>
      </c>
      <c r="S38" t="s">
        <v>30</v>
      </c>
      <c r="V38">
        <f t="shared" si="1"/>
        <v>341.30000000000291</v>
      </c>
    </row>
    <row r="39" spans="1:22" hidden="1" x14ac:dyDescent="0.2">
      <c r="A39" t="s">
        <v>64</v>
      </c>
      <c r="B39" s="2">
        <v>46024</v>
      </c>
      <c r="C39">
        <v>154.87</v>
      </c>
      <c r="D39">
        <v>154.22999999999999</v>
      </c>
      <c r="E39">
        <v>-0.41</v>
      </c>
      <c r="F39">
        <v>77.709999999999994</v>
      </c>
      <c r="G39">
        <v>1.31</v>
      </c>
      <c r="H39">
        <v>146.99</v>
      </c>
      <c r="I39">
        <v>5.36</v>
      </c>
      <c r="J39">
        <v>1.42</v>
      </c>
      <c r="K39">
        <v>0.8</v>
      </c>
      <c r="L39" t="s">
        <v>20</v>
      </c>
      <c r="M39">
        <v>152.55000000000001</v>
      </c>
      <c r="N39">
        <v>156.41999999999999</v>
      </c>
      <c r="O39">
        <v>142.58000000000001</v>
      </c>
      <c r="P39">
        <v>162.61000000000001</v>
      </c>
      <c r="Q39">
        <v>170.36</v>
      </c>
      <c r="R39">
        <v>68</v>
      </c>
      <c r="S39" t="s">
        <v>21</v>
      </c>
    </row>
    <row r="40" spans="1:22" hidden="1" x14ac:dyDescent="0.2">
      <c r="A40" t="s">
        <v>65</v>
      </c>
      <c r="B40" s="2">
        <v>46024</v>
      </c>
      <c r="C40">
        <v>1781.1</v>
      </c>
      <c r="D40">
        <v>1772.4</v>
      </c>
      <c r="E40">
        <v>-0.49</v>
      </c>
      <c r="F40">
        <v>62.55</v>
      </c>
      <c r="G40">
        <v>4.12</v>
      </c>
      <c r="H40">
        <v>1710.42</v>
      </c>
      <c r="I40">
        <v>4.13</v>
      </c>
      <c r="J40">
        <v>1</v>
      </c>
      <c r="K40">
        <v>0.38</v>
      </c>
      <c r="L40" t="s">
        <v>20</v>
      </c>
      <c r="M40">
        <v>1754.38</v>
      </c>
      <c r="N40">
        <v>1798.91</v>
      </c>
      <c r="O40">
        <v>1659.11</v>
      </c>
      <c r="P40">
        <v>1870.15</v>
      </c>
      <c r="Q40">
        <v>1959.21</v>
      </c>
      <c r="R40">
        <v>70</v>
      </c>
      <c r="S40" t="s">
        <v>21</v>
      </c>
    </row>
    <row r="41" spans="1:22" hidden="1" x14ac:dyDescent="0.2">
      <c r="A41" t="s">
        <v>66</v>
      </c>
      <c r="B41" s="2">
        <v>46024</v>
      </c>
      <c r="C41">
        <v>1235.2</v>
      </c>
      <c r="D41">
        <v>1244.3</v>
      </c>
      <c r="E41">
        <v>0.74</v>
      </c>
      <c r="F41">
        <v>59.58</v>
      </c>
      <c r="G41">
        <v>9.33</v>
      </c>
      <c r="H41">
        <v>1157.02</v>
      </c>
      <c r="I41">
        <v>6.76</v>
      </c>
      <c r="J41">
        <v>0.76</v>
      </c>
      <c r="K41">
        <v>1.02</v>
      </c>
      <c r="L41" t="s">
        <v>20</v>
      </c>
      <c r="M41">
        <v>1216.67</v>
      </c>
      <c r="N41">
        <v>1247.55</v>
      </c>
      <c r="O41">
        <v>1122.31</v>
      </c>
      <c r="P41">
        <v>1296.96</v>
      </c>
      <c r="Q41">
        <v>1358.72</v>
      </c>
      <c r="R41">
        <v>46</v>
      </c>
      <c r="S41" t="s">
        <v>30</v>
      </c>
    </row>
    <row r="42" spans="1:22" hidden="1" x14ac:dyDescent="0.2">
      <c r="A42" t="s">
        <v>67</v>
      </c>
      <c r="B42" s="2">
        <v>46024</v>
      </c>
      <c r="C42">
        <v>1973.9</v>
      </c>
      <c r="D42">
        <v>1979.9</v>
      </c>
      <c r="E42">
        <v>0.3</v>
      </c>
      <c r="F42">
        <v>54.94</v>
      </c>
      <c r="G42">
        <v>-2.69</v>
      </c>
      <c r="H42">
        <v>1978.41</v>
      </c>
      <c r="I42">
        <v>-0.23</v>
      </c>
      <c r="J42">
        <v>0.85</v>
      </c>
      <c r="K42">
        <v>0.67</v>
      </c>
      <c r="L42" t="s">
        <v>20</v>
      </c>
      <c r="M42">
        <v>1958.63</v>
      </c>
      <c r="N42">
        <v>1993.64</v>
      </c>
      <c r="O42">
        <v>1894.94</v>
      </c>
      <c r="P42">
        <v>2072.6</v>
      </c>
      <c r="Q42">
        <v>2171.29</v>
      </c>
      <c r="R42">
        <v>35</v>
      </c>
      <c r="S42" t="s">
        <v>30</v>
      </c>
    </row>
    <row r="43" spans="1:22" hidden="1" x14ac:dyDescent="0.2">
      <c r="A43" t="s">
        <v>68</v>
      </c>
      <c r="B43" s="2">
        <v>46024</v>
      </c>
      <c r="C43">
        <v>678.3</v>
      </c>
      <c r="D43">
        <v>683.85</v>
      </c>
      <c r="E43">
        <v>0.82</v>
      </c>
      <c r="F43">
        <v>66.38</v>
      </c>
      <c r="G43">
        <v>7.62</v>
      </c>
      <c r="H43">
        <v>631.89</v>
      </c>
      <c r="I43">
        <v>7.35</v>
      </c>
      <c r="J43">
        <v>0.81</v>
      </c>
      <c r="K43">
        <v>0.83</v>
      </c>
      <c r="L43" t="s">
        <v>20</v>
      </c>
      <c r="M43">
        <v>668.13</v>
      </c>
      <c r="N43">
        <v>685.08</v>
      </c>
      <c r="O43">
        <v>612.92999999999995</v>
      </c>
      <c r="P43">
        <v>712.21</v>
      </c>
      <c r="Q43">
        <v>746.13</v>
      </c>
      <c r="R43">
        <v>58</v>
      </c>
      <c r="S43" t="s">
        <v>21</v>
      </c>
    </row>
    <row r="44" spans="1:22" hidden="1" x14ac:dyDescent="0.2">
      <c r="A44" t="s">
        <v>69</v>
      </c>
      <c r="B44" s="2">
        <v>46024</v>
      </c>
      <c r="C44">
        <v>166.79</v>
      </c>
      <c r="D44">
        <v>165.01</v>
      </c>
      <c r="E44">
        <v>-1.07</v>
      </c>
      <c r="F44">
        <v>67.010000000000005</v>
      </c>
      <c r="G44">
        <v>0.67</v>
      </c>
      <c r="H44">
        <v>161.79</v>
      </c>
      <c r="I44">
        <v>3.09</v>
      </c>
      <c r="J44">
        <v>1.08</v>
      </c>
      <c r="K44">
        <v>1.03</v>
      </c>
      <c r="L44" t="s">
        <v>20</v>
      </c>
      <c r="M44">
        <v>164.29</v>
      </c>
      <c r="N44">
        <v>168.46</v>
      </c>
      <c r="O44">
        <v>156.93</v>
      </c>
      <c r="P44">
        <v>175.13</v>
      </c>
      <c r="Q44">
        <v>183.47</v>
      </c>
      <c r="R44">
        <v>70</v>
      </c>
      <c r="S44" t="s">
        <v>21</v>
      </c>
    </row>
    <row r="45" spans="1:22" hidden="1" x14ac:dyDescent="0.2">
      <c r="A45" t="s">
        <v>70</v>
      </c>
      <c r="B45" s="2">
        <v>46024</v>
      </c>
      <c r="C45">
        <v>694.85</v>
      </c>
      <c r="D45">
        <v>675.55</v>
      </c>
      <c r="E45">
        <v>-2.78</v>
      </c>
      <c r="F45">
        <v>45.38</v>
      </c>
      <c r="G45">
        <v>1.1499999999999999</v>
      </c>
      <c r="H45">
        <v>691.39</v>
      </c>
      <c r="I45">
        <v>0.5</v>
      </c>
      <c r="J45">
        <v>1.81</v>
      </c>
      <c r="K45">
        <v>1.0900000000000001</v>
      </c>
      <c r="L45" t="s">
        <v>20</v>
      </c>
      <c r="M45">
        <v>684.48</v>
      </c>
      <c r="N45">
        <v>701.8</v>
      </c>
      <c r="O45">
        <v>667.06</v>
      </c>
      <c r="P45">
        <v>729.59</v>
      </c>
      <c r="Q45">
        <v>764.33</v>
      </c>
      <c r="R45">
        <v>65</v>
      </c>
      <c r="S45" t="s">
        <v>30</v>
      </c>
    </row>
    <row r="46" spans="1:22" hidden="1" x14ac:dyDescent="0.2">
      <c r="A46" t="s">
        <v>71</v>
      </c>
      <c r="B46" s="2">
        <v>46024</v>
      </c>
      <c r="C46">
        <v>2105.3000000000002</v>
      </c>
      <c r="D46">
        <v>2083.6999999999998</v>
      </c>
      <c r="E46">
        <v>-1.03</v>
      </c>
      <c r="F46">
        <v>58.71</v>
      </c>
      <c r="G46">
        <v>15.72</v>
      </c>
      <c r="H46">
        <v>2065.84</v>
      </c>
      <c r="I46">
        <v>1.91</v>
      </c>
      <c r="J46">
        <v>0.86</v>
      </c>
      <c r="K46">
        <v>0.98</v>
      </c>
      <c r="L46" t="s">
        <v>20</v>
      </c>
      <c r="M46">
        <v>2073.7199999999998</v>
      </c>
      <c r="N46">
        <v>2126.35</v>
      </c>
      <c r="O46">
        <v>2003.86</v>
      </c>
      <c r="P46">
        <v>2210.5700000000002</v>
      </c>
      <c r="Q46">
        <v>2315.83</v>
      </c>
      <c r="R46">
        <v>66</v>
      </c>
      <c r="S46" t="s">
        <v>21</v>
      </c>
    </row>
    <row r="47" spans="1:22" s="22" customFormat="1" ht="16" x14ac:dyDescent="0.2">
      <c r="A47" s="22" t="s">
        <v>72</v>
      </c>
      <c r="B47" s="23">
        <v>46024</v>
      </c>
      <c r="C47" s="22">
        <v>757.75</v>
      </c>
      <c r="D47" s="22">
        <v>773.05</v>
      </c>
      <c r="E47" s="22">
        <v>2.02</v>
      </c>
      <c r="F47" s="22">
        <v>61.18</v>
      </c>
      <c r="G47" s="22">
        <v>1.06</v>
      </c>
      <c r="H47" s="22">
        <v>733.35</v>
      </c>
      <c r="I47" s="22">
        <v>3.33</v>
      </c>
      <c r="J47" s="22">
        <v>0.85</v>
      </c>
      <c r="K47" s="22">
        <v>2.0499999999999998</v>
      </c>
      <c r="L47" s="22" t="s">
        <v>25</v>
      </c>
      <c r="M47" s="22">
        <v>746.38</v>
      </c>
      <c r="N47" s="22">
        <v>765.33</v>
      </c>
      <c r="O47" s="22">
        <v>711.35</v>
      </c>
      <c r="P47" s="22">
        <v>795.64</v>
      </c>
      <c r="Q47" s="22">
        <v>833.53</v>
      </c>
      <c r="R47" s="22">
        <v>60</v>
      </c>
      <c r="S47" s="22" t="s">
        <v>148</v>
      </c>
      <c r="V47" s="22">
        <f>D47-M47</f>
        <v>26.669999999999959</v>
      </c>
    </row>
    <row r="48" spans="1:22" hidden="1" x14ac:dyDescent="0.2">
      <c r="A48" t="s">
        <v>73</v>
      </c>
      <c r="B48" s="2">
        <v>46024</v>
      </c>
      <c r="C48">
        <v>3820.8</v>
      </c>
      <c r="D48">
        <v>3921</v>
      </c>
      <c r="E48">
        <v>2.62</v>
      </c>
      <c r="F48">
        <v>76.09</v>
      </c>
      <c r="G48">
        <v>26.46</v>
      </c>
      <c r="H48">
        <v>3655.12</v>
      </c>
      <c r="I48">
        <v>4.53</v>
      </c>
      <c r="J48">
        <v>1.1299999999999999</v>
      </c>
      <c r="K48">
        <v>1.72</v>
      </c>
      <c r="L48" t="s">
        <v>25</v>
      </c>
      <c r="M48">
        <v>3763.49</v>
      </c>
      <c r="N48">
        <v>3859.01</v>
      </c>
      <c r="O48">
        <v>3545.47</v>
      </c>
      <c r="P48">
        <v>4011.84</v>
      </c>
      <c r="Q48">
        <v>4202.88</v>
      </c>
      <c r="R48">
        <v>78</v>
      </c>
      <c r="S48" t="s">
        <v>21</v>
      </c>
    </row>
    <row r="49" spans="1:22" hidden="1" x14ac:dyDescent="0.2">
      <c r="A49" t="s">
        <v>74</v>
      </c>
      <c r="B49" s="2">
        <v>46024</v>
      </c>
      <c r="C49">
        <v>1367.7</v>
      </c>
      <c r="D49">
        <v>1343.2</v>
      </c>
      <c r="E49">
        <v>-1.79</v>
      </c>
      <c r="F49">
        <v>49.7</v>
      </c>
      <c r="G49">
        <v>6.12</v>
      </c>
      <c r="H49">
        <v>1355.14</v>
      </c>
      <c r="I49">
        <v>0.93</v>
      </c>
      <c r="J49">
        <v>0.46</v>
      </c>
      <c r="K49">
        <v>1.57</v>
      </c>
      <c r="L49" t="s">
        <v>25</v>
      </c>
      <c r="M49">
        <v>1347.18</v>
      </c>
      <c r="N49">
        <v>1381.38</v>
      </c>
      <c r="O49">
        <v>1312.99</v>
      </c>
      <c r="P49">
        <v>1436.08</v>
      </c>
      <c r="Q49">
        <v>1504.47</v>
      </c>
      <c r="R49">
        <v>53</v>
      </c>
      <c r="S49" t="s">
        <v>30</v>
      </c>
    </row>
    <row r="50" spans="1:22" hidden="1" x14ac:dyDescent="0.2">
      <c r="A50" t="s">
        <v>75</v>
      </c>
      <c r="B50" s="2">
        <v>46024</v>
      </c>
      <c r="C50">
        <v>84.53</v>
      </c>
      <c r="D50">
        <v>83.91</v>
      </c>
      <c r="E50">
        <v>-0.73</v>
      </c>
      <c r="F50">
        <v>67.98</v>
      </c>
      <c r="G50">
        <v>0.64</v>
      </c>
      <c r="H50">
        <v>77.19</v>
      </c>
      <c r="I50">
        <v>9.52</v>
      </c>
      <c r="J50">
        <v>1.75</v>
      </c>
      <c r="K50">
        <v>0.83</v>
      </c>
      <c r="L50" t="s">
        <v>20</v>
      </c>
      <c r="M50">
        <v>83.26</v>
      </c>
      <c r="N50">
        <v>85.38</v>
      </c>
      <c r="O50">
        <v>74.87</v>
      </c>
      <c r="P50">
        <v>88.76</v>
      </c>
      <c r="Q50">
        <v>92.98</v>
      </c>
      <c r="R50">
        <v>70</v>
      </c>
      <c r="S50" t="s">
        <v>21</v>
      </c>
    </row>
    <row r="51" spans="1:22" x14ac:dyDescent="0.2">
      <c r="A51" t="s">
        <v>76</v>
      </c>
      <c r="B51" s="2">
        <v>46024</v>
      </c>
      <c r="C51">
        <v>1478.2</v>
      </c>
      <c r="D51">
        <v>1505</v>
      </c>
      <c r="E51">
        <v>1.81</v>
      </c>
      <c r="F51">
        <v>49.17</v>
      </c>
      <c r="G51">
        <v>-3.27</v>
      </c>
      <c r="H51">
        <v>1464.81</v>
      </c>
      <c r="I51">
        <v>0.91</v>
      </c>
      <c r="J51">
        <v>0.9</v>
      </c>
      <c r="K51">
        <v>1.31</v>
      </c>
      <c r="L51" t="s">
        <v>33</v>
      </c>
      <c r="M51">
        <v>1456.03</v>
      </c>
      <c r="N51">
        <v>1492.98</v>
      </c>
      <c r="O51">
        <v>1419.07</v>
      </c>
      <c r="P51">
        <v>1552.11</v>
      </c>
      <c r="Q51">
        <v>1626.02</v>
      </c>
      <c r="R51">
        <v>35</v>
      </c>
      <c r="S51" t="s">
        <v>30</v>
      </c>
      <c r="V51">
        <f>D51-M51</f>
        <v>48.970000000000027</v>
      </c>
    </row>
    <row r="52" spans="1:22" hidden="1" x14ac:dyDescent="0.2">
      <c r="A52" t="s">
        <v>77</v>
      </c>
      <c r="B52" s="2">
        <v>46024</v>
      </c>
      <c r="C52">
        <v>375.95</v>
      </c>
      <c r="D52">
        <v>375.05</v>
      </c>
      <c r="E52">
        <v>-0.24</v>
      </c>
      <c r="F52">
        <v>48.51</v>
      </c>
      <c r="G52">
        <v>-1.93</v>
      </c>
      <c r="H52">
        <v>364.12</v>
      </c>
      <c r="I52">
        <v>3.25</v>
      </c>
      <c r="J52">
        <v>1.54</v>
      </c>
      <c r="K52">
        <v>0.98</v>
      </c>
      <c r="L52" t="s">
        <v>20</v>
      </c>
      <c r="M52">
        <v>370.31</v>
      </c>
      <c r="N52">
        <v>379.71</v>
      </c>
      <c r="O52">
        <v>353.19</v>
      </c>
      <c r="P52">
        <v>394.75</v>
      </c>
      <c r="Q52">
        <v>413.55</v>
      </c>
      <c r="R52">
        <v>50</v>
      </c>
      <c r="S52" t="s">
        <v>30</v>
      </c>
    </row>
    <row r="53" spans="1:22" hidden="1" x14ac:dyDescent="0.2">
      <c r="A53" t="s">
        <v>78</v>
      </c>
      <c r="B53" s="2">
        <v>46024</v>
      </c>
      <c r="C53">
        <v>380.65</v>
      </c>
      <c r="D53">
        <v>381</v>
      </c>
      <c r="E53">
        <v>0.09</v>
      </c>
      <c r="F53">
        <v>53.79</v>
      </c>
      <c r="G53">
        <v>2.06</v>
      </c>
      <c r="H53">
        <v>359.16</v>
      </c>
      <c r="I53">
        <v>5.98</v>
      </c>
      <c r="J53">
        <v>2.02</v>
      </c>
      <c r="K53">
        <v>1.49</v>
      </c>
      <c r="L53" t="s">
        <v>33</v>
      </c>
      <c r="M53">
        <v>374.94</v>
      </c>
      <c r="N53">
        <v>384.46</v>
      </c>
      <c r="O53">
        <v>348.39</v>
      </c>
      <c r="P53">
        <v>399.68</v>
      </c>
      <c r="Q53">
        <v>418.71</v>
      </c>
      <c r="R53">
        <v>60</v>
      </c>
      <c r="S53" t="s">
        <v>30</v>
      </c>
    </row>
    <row r="54" spans="1:22" hidden="1" x14ac:dyDescent="0.2">
      <c r="A54" t="s">
        <v>79</v>
      </c>
      <c r="B54" s="2">
        <v>46024</v>
      </c>
      <c r="C54">
        <v>3059.5</v>
      </c>
      <c r="D54">
        <v>3089.3</v>
      </c>
      <c r="E54">
        <v>0.97</v>
      </c>
      <c r="F54">
        <v>55.18</v>
      </c>
      <c r="G54">
        <v>11.72</v>
      </c>
      <c r="H54">
        <v>2959.25</v>
      </c>
      <c r="I54">
        <v>3.39</v>
      </c>
      <c r="J54">
        <v>1.32</v>
      </c>
      <c r="K54">
        <v>0.71</v>
      </c>
      <c r="L54" t="s">
        <v>20</v>
      </c>
      <c r="M54">
        <v>3013.61</v>
      </c>
      <c r="N54">
        <v>3090.1</v>
      </c>
      <c r="O54">
        <v>2870.47</v>
      </c>
      <c r="P54">
        <v>3212.48</v>
      </c>
      <c r="Q54">
        <v>3365.45</v>
      </c>
      <c r="R54">
        <v>76</v>
      </c>
      <c r="S54" t="s">
        <v>21</v>
      </c>
    </row>
    <row r="55" spans="1:22" hidden="1" x14ac:dyDescent="0.2">
      <c r="A55" t="s">
        <v>80</v>
      </c>
      <c r="B55" s="2">
        <v>46024</v>
      </c>
      <c r="C55">
        <v>3885.3</v>
      </c>
      <c r="D55">
        <v>3869.8</v>
      </c>
      <c r="E55">
        <v>-0.4</v>
      </c>
      <c r="F55">
        <v>67.03</v>
      </c>
      <c r="G55">
        <v>12.03</v>
      </c>
      <c r="H55">
        <v>3745.86</v>
      </c>
      <c r="I55">
        <v>3.72</v>
      </c>
      <c r="J55">
        <v>0.65</v>
      </c>
      <c r="K55">
        <v>0.84</v>
      </c>
      <c r="L55" t="s">
        <v>20</v>
      </c>
      <c r="M55">
        <v>3827.02</v>
      </c>
      <c r="N55">
        <v>3924.15</v>
      </c>
      <c r="O55">
        <v>3633.48</v>
      </c>
      <c r="P55">
        <v>4079.57</v>
      </c>
      <c r="Q55">
        <v>4273.83</v>
      </c>
      <c r="R55">
        <v>68</v>
      </c>
      <c r="S55" t="s">
        <v>21</v>
      </c>
    </row>
    <row r="56" spans="1:22" hidden="1" x14ac:dyDescent="0.2">
      <c r="A56" t="s">
        <v>81</v>
      </c>
      <c r="B56" s="2">
        <v>46024</v>
      </c>
      <c r="C56">
        <v>3847.8</v>
      </c>
      <c r="D56">
        <v>3864.2</v>
      </c>
      <c r="E56">
        <v>0.43</v>
      </c>
      <c r="F56">
        <v>72.260000000000005</v>
      </c>
      <c r="G56">
        <v>0.17</v>
      </c>
      <c r="H56">
        <v>3579.39</v>
      </c>
      <c r="I56">
        <v>7.5</v>
      </c>
      <c r="J56">
        <v>1.1100000000000001</v>
      </c>
      <c r="K56">
        <v>0.91</v>
      </c>
      <c r="L56" t="s">
        <v>20</v>
      </c>
      <c r="M56">
        <v>3790.08</v>
      </c>
      <c r="N56">
        <v>3886.28</v>
      </c>
      <c r="O56">
        <v>3472.01</v>
      </c>
      <c r="P56">
        <v>4040.19</v>
      </c>
      <c r="Q56">
        <v>4232.58</v>
      </c>
      <c r="R56">
        <v>53</v>
      </c>
      <c r="S56" t="s">
        <v>21</v>
      </c>
    </row>
    <row r="57" spans="1:22" hidden="1" x14ac:dyDescent="0.2">
      <c r="A57" t="s">
        <v>82</v>
      </c>
      <c r="B57" s="2">
        <v>46024</v>
      </c>
      <c r="C57">
        <v>616.95000000000005</v>
      </c>
      <c r="D57">
        <v>615.65</v>
      </c>
      <c r="E57">
        <v>-0.21</v>
      </c>
      <c r="F57">
        <v>78.12</v>
      </c>
      <c r="G57">
        <v>11.73</v>
      </c>
      <c r="H57">
        <v>542.39</v>
      </c>
      <c r="I57">
        <v>13.75</v>
      </c>
      <c r="J57">
        <v>1.1599999999999999</v>
      </c>
      <c r="K57">
        <v>0.79</v>
      </c>
      <c r="L57" t="s">
        <v>20</v>
      </c>
      <c r="M57">
        <v>607.70000000000005</v>
      </c>
      <c r="N57">
        <v>623.12</v>
      </c>
      <c r="O57">
        <v>526.12</v>
      </c>
      <c r="P57">
        <v>647.79999999999995</v>
      </c>
      <c r="Q57">
        <v>678.65</v>
      </c>
      <c r="R57">
        <v>61</v>
      </c>
      <c r="S57" t="s">
        <v>21</v>
      </c>
    </row>
    <row r="58" spans="1:22" x14ac:dyDescent="0.2">
      <c r="A58" t="s">
        <v>83</v>
      </c>
      <c r="B58" s="2">
        <v>46024</v>
      </c>
      <c r="C58">
        <v>1430.2</v>
      </c>
      <c r="D58">
        <v>1476.8</v>
      </c>
      <c r="E58">
        <v>3.26</v>
      </c>
      <c r="F58">
        <v>56.13</v>
      </c>
      <c r="G58">
        <v>3.29</v>
      </c>
      <c r="H58">
        <v>1371.91</v>
      </c>
      <c r="I58">
        <v>4.25</v>
      </c>
      <c r="J58">
        <v>0.52</v>
      </c>
      <c r="K58">
        <v>3.12</v>
      </c>
      <c r="L58" t="s">
        <v>25</v>
      </c>
      <c r="M58">
        <v>1408.75</v>
      </c>
      <c r="N58">
        <v>1444.5</v>
      </c>
      <c r="O58">
        <v>1330.75</v>
      </c>
      <c r="P58">
        <v>1501.71</v>
      </c>
      <c r="Q58">
        <v>1573.22</v>
      </c>
      <c r="R58">
        <v>53</v>
      </c>
      <c r="S58" t="s">
        <v>21</v>
      </c>
      <c r="V58">
        <f>D58-M58</f>
        <v>68.049999999999955</v>
      </c>
    </row>
  </sheetData>
  <autoFilter ref="A1:S58" xr:uid="{00000000-0001-0000-0100-000000000000}">
    <filterColumn colId="10">
      <filters>
        <filter val="1.16"/>
        <filter val="1.18"/>
        <filter val="1.25"/>
        <filter val="1.31"/>
        <filter val="1.32"/>
        <filter val="1.33"/>
        <filter val="1.43"/>
        <filter val="1.44"/>
        <filter val="2.05"/>
        <filter val="2.21"/>
        <filter val="2.25"/>
        <filter val="2.3"/>
        <filter val="2.75"/>
        <filter val="3.12"/>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C62A-F9FA-5E42-A3F2-A101A66EABEF}">
  <dimension ref="A1:V29"/>
  <sheetViews>
    <sheetView workbookViewId="0">
      <selection activeCell="D29" sqref="D29"/>
    </sheetView>
  </sheetViews>
  <sheetFormatPr baseColWidth="10" defaultRowHeight="15" x14ac:dyDescent="0.2"/>
  <cols>
    <col min="1" max="1" width="19"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24</v>
      </c>
      <c r="B2" s="2">
        <v>46024</v>
      </c>
      <c r="C2">
        <v>1266.9000000000001</v>
      </c>
      <c r="D2">
        <v>1295.5</v>
      </c>
      <c r="E2">
        <v>2.2599999999999998</v>
      </c>
      <c r="F2">
        <v>62.1</v>
      </c>
      <c r="G2">
        <v>3.16</v>
      </c>
      <c r="H2">
        <v>1254.7</v>
      </c>
      <c r="I2">
        <v>0.97</v>
      </c>
      <c r="J2">
        <v>0.69</v>
      </c>
      <c r="K2">
        <v>1.38</v>
      </c>
      <c r="L2" t="s">
        <v>33</v>
      </c>
      <c r="M2">
        <v>1247.9000000000001</v>
      </c>
      <c r="N2">
        <v>1279.57</v>
      </c>
      <c r="O2">
        <v>1216.22</v>
      </c>
      <c r="P2">
        <v>1330.25</v>
      </c>
      <c r="Q2">
        <v>1393.59</v>
      </c>
      <c r="R2">
        <v>65</v>
      </c>
      <c r="S2" t="s">
        <v>21</v>
      </c>
    </row>
    <row r="3" spans="1:19" s="8" customFormat="1" x14ac:dyDescent="0.2">
      <c r="A3" s="8" t="s">
        <v>34</v>
      </c>
      <c r="B3" s="9">
        <v>46024</v>
      </c>
      <c r="C3" s="8">
        <v>1640.2</v>
      </c>
      <c r="D3" s="8">
        <v>1647.7</v>
      </c>
      <c r="E3" s="8">
        <v>0.46</v>
      </c>
      <c r="F3" s="8">
        <v>58.02</v>
      </c>
      <c r="G3" s="8">
        <v>19.97</v>
      </c>
      <c r="H3" s="8">
        <v>1618.04</v>
      </c>
      <c r="I3" s="8">
        <v>1.37</v>
      </c>
      <c r="J3" s="8">
        <v>0.67</v>
      </c>
      <c r="K3" s="8">
        <v>2.12</v>
      </c>
      <c r="L3" s="8" t="s">
        <v>25</v>
      </c>
      <c r="M3" s="8">
        <v>1615.6</v>
      </c>
      <c r="N3" s="8">
        <v>1656.6</v>
      </c>
      <c r="O3" s="8">
        <v>1569.5</v>
      </c>
      <c r="P3" s="8">
        <v>1722.21</v>
      </c>
      <c r="Q3" s="8">
        <v>1804.22</v>
      </c>
      <c r="R3" s="8">
        <v>66</v>
      </c>
      <c r="S3" s="8" t="s">
        <v>21</v>
      </c>
    </row>
    <row r="4" spans="1:19" x14ac:dyDescent="0.2">
      <c r="A4" t="s">
        <v>38</v>
      </c>
      <c r="B4" s="2">
        <v>46024</v>
      </c>
      <c r="C4">
        <v>1355.4</v>
      </c>
      <c r="D4">
        <v>1427.7</v>
      </c>
      <c r="E4">
        <v>5.33</v>
      </c>
      <c r="F4">
        <v>45.88</v>
      </c>
      <c r="G4">
        <v>-5.38</v>
      </c>
      <c r="H4">
        <v>1363.8</v>
      </c>
      <c r="I4">
        <v>-0.62</v>
      </c>
      <c r="J4">
        <v>0.86</v>
      </c>
      <c r="K4">
        <v>1.84</v>
      </c>
      <c r="L4" t="s">
        <v>25</v>
      </c>
      <c r="M4">
        <v>1350.16</v>
      </c>
      <c r="N4">
        <v>1368.95</v>
      </c>
      <c r="O4">
        <v>1301.18</v>
      </c>
      <c r="P4">
        <v>1423.17</v>
      </c>
      <c r="Q4">
        <v>1490.94</v>
      </c>
      <c r="R4">
        <v>35</v>
      </c>
      <c r="S4" t="s">
        <v>30</v>
      </c>
    </row>
    <row r="5" spans="1:19" s="30" customFormat="1" x14ac:dyDescent="0.2">
      <c r="A5" s="30" t="s">
        <v>53</v>
      </c>
      <c r="B5" s="37">
        <v>46024</v>
      </c>
      <c r="C5" s="30">
        <v>1612</v>
      </c>
      <c r="D5" s="30">
        <v>1625.2</v>
      </c>
      <c r="E5" s="30">
        <v>0.82</v>
      </c>
      <c r="F5" s="30">
        <v>62.08</v>
      </c>
      <c r="G5" s="30">
        <v>22.03</v>
      </c>
      <c r="H5" s="30">
        <v>1521.51</v>
      </c>
      <c r="I5" s="30">
        <v>5.95</v>
      </c>
      <c r="J5" s="30">
        <v>0.59</v>
      </c>
      <c r="K5" s="30">
        <v>1.63</v>
      </c>
      <c r="L5" s="30" t="s">
        <v>25</v>
      </c>
      <c r="M5" s="30">
        <v>1587.82</v>
      </c>
      <c r="N5" s="30">
        <v>1628.12</v>
      </c>
      <c r="O5" s="30">
        <v>1475.86</v>
      </c>
      <c r="P5" s="30">
        <v>1692.6</v>
      </c>
      <c r="Q5" s="30">
        <v>1773.2</v>
      </c>
      <c r="R5" s="30">
        <v>75</v>
      </c>
      <c r="S5" s="30" t="s">
        <v>21</v>
      </c>
    </row>
    <row r="6" spans="1:19" x14ac:dyDescent="0.2">
      <c r="A6" t="s">
        <v>54</v>
      </c>
      <c r="B6" s="2">
        <v>46024</v>
      </c>
      <c r="C6">
        <v>4051.7</v>
      </c>
      <c r="D6">
        <v>4273.2</v>
      </c>
      <c r="E6">
        <v>5.47</v>
      </c>
      <c r="F6">
        <v>68.19</v>
      </c>
      <c r="G6">
        <v>28.37</v>
      </c>
      <c r="H6">
        <v>3882.44</v>
      </c>
      <c r="I6">
        <v>4.3600000000000003</v>
      </c>
      <c r="J6">
        <v>1.1000000000000001</v>
      </c>
      <c r="K6">
        <v>3.2</v>
      </c>
      <c r="L6" t="s">
        <v>25</v>
      </c>
      <c r="M6">
        <v>3990.92</v>
      </c>
      <c r="N6">
        <v>4092.22</v>
      </c>
      <c r="O6">
        <v>3765.97</v>
      </c>
      <c r="P6">
        <v>4254.28</v>
      </c>
      <c r="Q6">
        <v>4456.87</v>
      </c>
      <c r="R6">
        <v>85</v>
      </c>
      <c r="S6" t="s">
        <v>21</v>
      </c>
    </row>
    <row r="7" spans="1:19" x14ac:dyDescent="0.2">
      <c r="A7" t="s">
        <v>55</v>
      </c>
      <c r="B7" s="2">
        <v>46024</v>
      </c>
      <c r="C7">
        <v>11899</v>
      </c>
      <c r="D7">
        <v>12184</v>
      </c>
      <c r="E7">
        <v>2.4</v>
      </c>
      <c r="F7">
        <v>50.51</v>
      </c>
      <c r="G7">
        <v>-54.99</v>
      </c>
      <c r="H7">
        <v>11750.8</v>
      </c>
      <c r="I7">
        <v>1.26</v>
      </c>
      <c r="J7">
        <v>0.83</v>
      </c>
      <c r="K7">
        <v>1.33</v>
      </c>
      <c r="L7" t="s">
        <v>33</v>
      </c>
      <c r="M7">
        <v>11720.52</v>
      </c>
      <c r="N7">
        <v>12017.99</v>
      </c>
      <c r="O7">
        <v>11398.28</v>
      </c>
      <c r="P7">
        <v>12493.95</v>
      </c>
      <c r="Q7">
        <v>13088.9</v>
      </c>
      <c r="R7">
        <v>35</v>
      </c>
      <c r="S7" t="s">
        <v>30</v>
      </c>
    </row>
    <row r="8" spans="1:19" x14ac:dyDescent="0.2">
      <c r="A8" t="s">
        <v>57</v>
      </c>
      <c r="B8" s="2">
        <v>46024</v>
      </c>
      <c r="C8">
        <v>269</v>
      </c>
      <c r="D8">
        <v>270.8</v>
      </c>
      <c r="E8">
        <v>0.67</v>
      </c>
      <c r="F8">
        <v>61.77</v>
      </c>
      <c r="G8">
        <v>3.39</v>
      </c>
      <c r="H8">
        <v>253.58</v>
      </c>
      <c r="I8">
        <v>6.08</v>
      </c>
      <c r="J8">
        <v>0.65</v>
      </c>
      <c r="K8">
        <v>2.02</v>
      </c>
      <c r="L8" t="s">
        <v>25</v>
      </c>
      <c r="M8">
        <v>264.95999999999998</v>
      </c>
      <c r="N8">
        <v>271.69</v>
      </c>
      <c r="O8">
        <v>245.97</v>
      </c>
      <c r="P8">
        <v>282.45</v>
      </c>
      <c r="Q8">
        <v>295.89999999999998</v>
      </c>
      <c r="R8">
        <v>50</v>
      </c>
      <c r="S8" t="s">
        <v>21</v>
      </c>
    </row>
    <row r="9" spans="1:19" x14ac:dyDescent="0.2">
      <c r="A9" t="s">
        <v>58</v>
      </c>
      <c r="B9" s="2">
        <v>46024</v>
      </c>
      <c r="C9">
        <v>5205.5</v>
      </c>
      <c r="D9">
        <v>5299</v>
      </c>
      <c r="E9">
        <v>1.8</v>
      </c>
      <c r="F9">
        <v>46.35</v>
      </c>
      <c r="G9">
        <v>36.79</v>
      </c>
      <c r="H9">
        <v>5147.3</v>
      </c>
      <c r="I9">
        <v>1.1299999999999999</v>
      </c>
      <c r="J9">
        <v>0.36</v>
      </c>
      <c r="K9">
        <v>1.41</v>
      </c>
      <c r="L9" t="s">
        <v>33</v>
      </c>
      <c r="M9">
        <v>5127.42</v>
      </c>
      <c r="N9">
        <v>5257.56</v>
      </c>
      <c r="O9">
        <v>4992.88</v>
      </c>
      <c r="P9">
        <v>5465.78</v>
      </c>
      <c r="Q9">
        <v>5726.05</v>
      </c>
      <c r="R9">
        <v>60</v>
      </c>
      <c r="S9" t="s">
        <v>30</v>
      </c>
    </row>
    <row r="10" spans="1:19" x14ac:dyDescent="0.2">
      <c r="A10" t="s">
        <v>61</v>
      </c>
      <c r="B10" s="2">
        <v>46024</v>
      </c>
      <c r="C10">
        <v>1215.4000000000001</v>
      </c>
      <c r="D10">
        <v>1235.4000000000001</v>
      </c>
      <c r="E10">
        <v>1.65</v>
      </c>
      <c r="F10">
        <v>57.28</v>
      </c>
      <c r="G10">
        <v>11.56</v>
      </c>
      <c r="H10">
        <v>1197.72</v>
      </c>
      <c r="I10">
        <v>1.48</v>
      </c>
      <c r="J10">
        <v>0.74</v>
      </c>
      <c r="K10">
        <v>2.44</v>
      </c>
      <c r="L10" t="s">
        <v>25</v>
      </c>
      <c r="M10">
        <v>1197.17</v>
      </c>
      <c r="N10">
        <v>1227.55</v>
      </c>
      <c r="O10">
        <v>1161.79</v>
      </c>
      <c r="P10">
        <v>1276.17</v>
      </c>
      <c r="Q10">
        <v>1336.94</v>
      </c>
      <c r="R10">
        <v>66</v>
      </c>
      <c r="S10" t="s">
        <v>21</v>
      </c>
    </row>
    <row r="11" spans="1:19" x14ac:dyDescent="0.2">
      <c r="A11" t="s">
        <v>66</v>
      </c>
      <c r="B11" s="2">
        <v>46024</v>
      </c>
      <c r="C11">
        <v>1235.2</v>
      </c>
      <c r="D11">
        <v>1247.7</v>
      </c>
      <c r="E11">
        <v>1.01</v>
      </c>
      <c r="F11">
        <v>59.65</v>
      </c>
      <c r="G11">
        <v>9.33</v>
      </c>
      <c r="H11">
        <v>1157.02</v>
      </c>
      <c r="I11">
        <v>6.76</v>
      </c>
      <c r="J11">
        <v>0.76</v>
      </c>
      <c r="K11">
        <v>1.85</v>
      </c>
      <c r="L11" t="s">
        <v>25</v>
      </c>
      <c r="M11">
        <v>1216.67</v>
      </c>
      <c r="N11">
        <v>1247.55</v>
      </c>
      <c r="O11">
        <v>1122.31</v>
      </c>
      <c r="P11">
        <v>1296.96</v>
      </c>
      <c r="Q11">
        <v>1358.72</v>
      </c>
      <c r="R11">
        <v>46</v>
      </c>
      <c r="S11" t="s">
        <v>30</v>
      </c>
    </row>
    <row r="12" spans="1:19" x14ac:dyDescent="0.2">
      <c r="A12" t="s">
        <v>68</v>
      </c>
      <c r="B12" s="2">
        <v>46024</v>
      </c>
      <c r="C12">
        <v>678.3</v>
      </c>
      <c r="D12">
        <v>684.6</v>
      </c>
      <c r="E12">
        <v>0.93</v>
      </c>
      <c r="F12">
        <v>66.319999999999993</v>
      </c>
      <c r="G12">
        <v>7.61</v>
      </c>
      <c r="H12">
        <v>631.89</v>
      </c>
      <c r="I12">
        <v>7.35</v>
      </c>
      <c r="J12">
        <v>0.81</v>
      </c>
      <c r="K12">
        <v>1.96</v>
      </c>
      <c r="L12" t="s">
        <v>25</v>
      </c>
      <c r="M12">
        <v>668.13</v>
      </c>
      <c r="N12">
        <v>685.08</v>
      </c>
      <c r="O12">
        <v>612.92999999999995</v>
      </c>
      <c r="P12">
        <v>712.21</v>
      </c>
      <c r="Q12">
        <v>746.13</v>
      </c>
      <c r="R12">
        <v>58</v>
      </c>
      <c r="S12" t="s">
        <v>21</v>
      </c>
    </row>
    <row r="13" spans="1:19" x14ac:dyDescent="0.2">
      <c r="A13" t="s">
        <v>71</v>
      </c>
      <c r="B13" s="2">
        <v>46024</v>
      </c>
      <c r="C13">
        <v>2105.3000000000002</v>
      </c>
      <c r="D13">
        <v>2214.3000000000002</v>
      </c>
      <c r="E13">
        <v>5.18</v>
      </c>
      <c r="F13">
        <v>58.72</v>
      </c>
      <c r="G13">
        <v>15.72</v>
      </c>
      <c r="H13">
        <v>2065.84</v>
      </c>
      <c r="I13">
        <v>1.91</v>
      </c>
      <c r="J13">
        <v>0.86</v>
      </c>
      <c r="K13">
        <v>1.64</v>
      </c>
      <c r="L13" t="s">
        <v>25</v>
      </c>
      <c r="M13">
        <v>2073.7199999999998</v>
      </c>
      <c r="N13">
        <v>2126.35</v>
      </c>
      <c r="O13">
        <v>2003.86</v>
      </c>
      <c r="P13">
        <v>2210.5700000000002</v>
      </c>
      <c r="Q13">
        <v>2315.83</v>
      </c>
      <c r="R13">
        <v>66</v>
      </c>
      <c r="S13" t="s">
        <v>21</v>
      </c>
    </row>
    <row r="14" spans="1:19" x14ac:dyDescent="0.2">
      <c r="A14" t="s">
        <v>72</v>
      </c>
      <c r="B14" s="2">
        <v>46024</v>
      </c>
      <c r="C14">
        <v>757.75</v>
      </c>
      <c r="D14">
        <v>773.8</v>
      </c>
      <c r="E14">
        <v>2.12</v>
      </c>
      <c r="F14">
        <v>61.21</v>
      </c>
      <c r="G14">
        <v>1.06</v>
      </c>
      <c r="H14">
        <v>733.35</v>
      </c>
      <c r="I14">
        <v>3.33</v>
      </c>
      <c r="J14">
        <v>0.85</v>
      </c>
      <c r="K14">
        <v>1.47</v>
      </c>
      <c r="L14" t="s">
        <v>33</v>
      </c>
      <c r="M14">
        <v>746.38</v>
      </c>
      <c r="N14">
        <v>765.33</v>
      </c>
      <c r="O14">
        <v>711.35</v>
      </c>
      <c r="P14">
        <v>795.64</v>
      </c>
      <c r="Q14">
        <v>833.53</v>
      </c>
      <c r="R14">
        <v>60</v>
      </c>
      <c r="S14" t="s">
        <v>21</v>
      </c>
    </row>
    <row r="15" spans="1:19" x14ac:dyDescent="0.2">
      <c r="A15" t="s">
        <v>75</v>
      </c>
      <c r="B15" s="2">
        <v>46024</v>
      </c>
      <c r="C15">
        <v>84.53</v>
      </c>
      <c r="D15">
        <v>86.16</v>
      </c>
      <c r="E15">
        <v>1.93</v>
      </c>
      <c r="F15">
        <v>68.040000000000006</v>
      </c>
      <c r="G15">
        <v>0.64</v>
      </c>
      <c r="H15">
        <v>77.19</v>
      </c>
      <c r="I15">
        <v>9.52</v>
      </c>
      <c r="J15">
        <v>1.75</v>
      </c>
      <c r="K15">
        <v>1.46</v>
      </c>
      <c r="L15" t="s">
        <v>33</v>
      </c>
      <c r="M15">
        <v>83.26</v>
      </c>
      <c r="N15">
        <v>85.38</v>
      </c>
      <c r="O15">
        <v>74.87</v>
      </c>
      <c r="P15">
        <v>88.76</v>
      </c>
      <c r="Q15">
        <v>92.98</v>
      </c>
      <c r="R15">
        <v>70</v>
      </c>
      <c r="S15" t="s">
        <v>21</v>
      </c>
    </row>
    <row r="16" spans="1:19" x14ac:dyDescent="0.2">
      <c r="A16" t="s">
        <v>76</v>
      </c>
      <c r="B16" s="2">
        <v>46024</v>
      </c>
      <c r="C16">
        <v>1478.2</v>
      </c>
      <c r="D16">
        <v>1514.8</v>
      </c>
      <c r="E16">
        <v>2.48</v>
      </c>
      <c r="F16">
        <v>48.94</v>
      </c>
      <c r="G16">
        <v>-3.11</v>
      </c>
      <c r="H16">
        <v>1464.81</v>
      </c>
      <c r="I16">
        <v>0.91</v>
      </c>
      <c r="J16">
        <v>0.9</v>
      </c>
      <c r="K16">
        <v>1.51</v>
      </c>
      <c r="L16" t="s">
        <v>25</v>
      </c>
      <c r="M16">
        <v>1456.03</v>
      </c>
      <c r="N16">
        <v>1492.98</v>
      </c>
      <c r="O16">
        <v>1419.07</v>
      </c>
      <c r="P16">
        <v>1552.11</v>
      </c>
      <c r="Q16">
        <v>1626.02</v>
      </c>
      <c r="R16">
        <v>35</v>
      </c>
      <c r="S16" t="s">
        <v>30</v>
      </c>
    </row>
    <row r="17" spans="1:22" x14ac:dyDescent="0.2">
      <c r="A17" t="s">
        <v>80</v>
      </c>
      <c r="B17" s="2">
        <v>46024</v>
      </c>
      <c r="C17">
        <v>3885.3</v>
      </c>
      <c r="D17">
        <v>4092.2</v>
      </c>
      <c r="E17">
        <v>5.33</v>
      </c>
      <c r="F17">
        <v>67</v>
      </c>
      <c r="G17">
        <v>12.03</v>
      </c>
      <c r="H17">
        <v>3745.86</v>
      </c>
      <c r="I17">
        <v>3.72</v>
      </c>
      <c r="J17">
        <v>0.65</v>
      </c>
      <c r="K17">
        <v>4.63</v>
      </c>
      <c r="L17" t="s">
        <v>25</v>
      </c>
      <c r="M17">
        <v>3827.02</v>
      </c>
      <c r="N17">
        <v>3924.15</v>
      </c>
      <c r="O17">
        <v>3633.48</v>
      </c>
      <c r="P17">
        <v>4079.57</v>
      </c>
      <c r="Q17">
        <v>4273.83</v>
      </c>
      <c r="R17">
        <v>68</v>
      </c>
      <c r="S17" t="s">
        <v>21</v>
      </c>
    </row>
    <row r="18" spans="1:22" x14ac:dyDescent="0.2">
      <c r="A18" t="s">
        <v>83</v>
      </c>
      <c r="B18" s="2">
        <v>46024</v>
      </c>
      <c r="C18">
        <v>1430.2</v>
      </c>
      <c r="D18">
        <v>1507.6</v>
      </c>
      <c r="E18">
        <v>5.41</v>
      </c>
      <c r="F18">
        <v>56.1</v>
      </c>
      <c r="G18">
        <v>3.29</v>
      </c>
      <c r="H18">
        <v>1371.91</v>
      </c>
      <c r="I18">
        <v>4.25</v>
      </c>
      <c r="J18">
        <v>0.52</v>
      </c>
      <c r="K18">
        <v>1.57</v>
      </c>
      <c r="L18" t="s">
        <v>25</v>
      </c>
      <c r="M18">
        <v>1408.75</v>
      </c>
      <c r="N18">
        <v>1444.5</v>
      </c>
      <c r="O18">
        <v>1330.75</v>
      </c>
      <c r="P18">
        <v>1501.71</v>
      </c>
      <c r="Q18">
        <v>1573.22</v>
      </c>
      <c r="R18">
        <v>53</v>
      </c>
      <c r="S18" t="s">
        <v>21</v>
      </c>
    </row>
    <row r="19" spans="1:22" s="8" customFormat="1" x14ac:dyDescent="0.2">
      <c r="A19" s="8" t="s">
        <v>50</v>
      </c>
      <c r="B19" s="9">
        <v>46024</v>
      </c>
      <c r="C19" s="8">
        <v>1592.3</v>
      </c>
      <c r="D19" s="8">
        <v>1504.2</v>
      </c>
      <c r="E19" s="8">
        <v>-5.53</v>
      </c>
      <c r="F19" s="8">
        <v>68.38</v>
      </c>
      <c r="G19" s="8">
        <v>10.76</v>
      </c>
      <c r="H19" s="8">
        <v>1541.11</v>
      </c>
      <c r="I19" s="8">
        <v>3.32</v>
      </c>
      <c r="J19" s="8">
        <v>0.7</v>
      </c>
      <c r="K19" s="8">
        <v>1.35</v>
      </c>
      <c r="L19" s="8" t="s">
        <v>33</v>
      </c>
      <c r="M19" s="8">
        <v>1568.42</v>
      </c>
      <c r="N19" s="8">
        <v>1608.22</v>
      </c>
      <c r="O19" s="8">
        <v>1494.88</v>
      </c>
      <c r="P19" s="8">
        <v>1671.92</v>
      </c>
      <c r="Q19" s="8">
        <v>1751.53</v>
      </c>
      <c r="R19" s="8">
        <v>68</v>
      </c>
      <c r="S19" s="8" t="s">
        <v>21</v>
      </c>
      <c r="V19" s="8">
        <f t="shared" ref="V19:V21" si="0">C19-D19</f>
        <v>88.099999999999909</v>
      </c>
    </row>
    <row r="20" spans="1:22" s="20" customFormat="1" x14ac:dyDescent="0.2">
      <c r="A20" s="20" t="s">
        <v>42</v>
      </c>
      <c r="B20" s="21">
        <v>46024</v>
      </c>
      <c r="C20" s="20">
        <v>2195.1</v>
      </c>
      <c r="D20" s="20">
        <v>2144</v>
      </c>
      <c r="E20" s="20">
        <v>-2.33</v>
      </c>
      <c r="F20" s="20">
        <v>60.34</v>
      </c>
      <c r="G20" s="20">
        <v>7.32</v>
      </c>
      <c r="H20" s="20">
        <v>2133.27</v>
      </c>
      <c r="I20" s="20">
        <v>2.9</v>
      </c>
      <c r="J20" s="20">
        <v>0.9</v>
      </c>
      <c r="K20" s="20">
        <v>0.89</v>
      </c>
      <c r="L20" s="20" t="s">
        <v>20</v>
      </c>
      <c r="M20" s="20">
        <v>2162.17</v>
      </c>
      <c r="N20" s="20">
        <v>2217.0500000000002</v>
      </c>
      <c r="O20" s="20">
        <v>2069.27</v>
      </c>
      <c r="P20" s="20">
        <v>2304.86</v>
      </c>
      <c r="Q20" s="20">
        <v>2414.61</v>
      </c>
      <c r="R20" s="20">
        <v>68</v>
      </c>
      <c r="S20" s="20" t="s">
        <v>21</v>
      </c>
      <c r="V20" s="20">
        <f t="shared" si="0"/>
        <v>51.099999999999909</v>
      </c>
    </row>
    <row r="21" spans="1:22" s="20" customFormat="1" x14ac:dyDescent="0.2">
      <c r="A21" s="20" t="s">
        <v>22</v>
      </c>
      <c r="B21" s="21">
        <v>46024</v>
      </c>
      <c r="C21" s="20">
        <v>2067.4</v>
      </c>
      <c r="D21" s="20">
        <v>2070.8000000000002</v>
      </c>
      <c r="E21" s="20">
        <v>0.16</v>
      </c>
      <c r="F21" s="20">
        <v>70.040000000000006</v>
      </c>
      <c r="G21" s="20">
        <v>7.26</v>
      </c>
      <c r="H21" s="20">
        <v>2010.85</v>
      </c>
      <c r="I21" s="20">
        <v>2.81</v>
      </c>
      <c r="J21" s="20">
        <v>1.17</v>
      </c>
      <c r="K21" s="20">
        <v>1.39</v>
      </c>
      <c r="L21" s="20" t="s">
        <v>33</v>
      </c>
      <c r="M21" s="20">
        <v>2036.39</v>
      </c>
      <c r="N21" s="20">
        <v>2088.0700000000002</v>
      </c>
      <c r="O21" s="20">
        <v>1950.52</v>
      </c>
      <c r="P21" s="20">
        <v>2170.77</v>
      </c>
      <c r="Q21" s="20">
        <v>2274.14</v>
      </c>
      <c r="R21" s="20">
        <v>71</v>
      </c>
      <c r="S21" s="20" t="s">
        <v>21</v>
      </c>
      <c r="V21" s="20">
        <f t="shared" si="0"/>
        <v>-3.4000000000000909</v>
      </c>
    </row>
    <row r="29" spans="1:22" x14ac:dyDescent="0.2">
      <c r="E29"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E2383-5105-8844-8FAC-49DB4C777509}">
  <dimension ref="A1:S16"/>
  <sheetViews>
    <sheetView workbookViewId="0">
      <selection activeCell="J32" sqref="J32"/>
    </sheetView>
  </sheetViews>
  <sheetFormatPr baseColWidth="10" defaultRowHeight="15" x14ac:dyDescent="0.2"/>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27</v>
      </c>
      <c r="B2" s="2">
        <v>46024</v>
      </c>
      <c r="C2">
        <v>381.45</v>
      </c>
      <c r="D2">
        <v>354.55</v>
      </c>
      <c r="E2">
        <v>-7.05</v>
      </c>
      <c r="F2">
        <v>72.92</v>
      </c>
      <c r="G2">
        <v>1.99</v>
      </c>
      <c r="H2">
        <v>365.02</v>
      </c>
      <c r="I2">
        <v>4.5</v>
      </c>
      <c r="J2">
        <v>1.08</v>
      </c>
      <c r="K2">
        <v>1.19</v>
      </c>
      <c r="L2" t="s">
        <v>20</v>
      </c>
      <c r="M2">
        <v>375.73</v>
      </c>
      <c r="N2">
        <v>385.26</v>
      </c>
      <c r="O2">
        <v>354.07</v>
      </c>
      <c r="P2">
        <v>400.52</v>
      </c>
      <c r="Q2">
        <v>419.6</v>
      </c>
      <c r="R2">
        <v>63</v>
      </c>
      <c r="S2" t="s">
        <v>21</v>
      </c>
    </row>
    <row r="3" spans="1:19" x14ac:dyDescent="0.2">
      <c r="A3" t="s">
        <v>28</v>
      </c>
      <c r="B3" s="2">
        <v>46024</v>
      </c>
      <c r="C3">
        <v>2106.3000000000002</v>
      </c>
      <c r="D3">
        <v>2066.3000000000002</v>
      </c>
      <c r="E3">
        <v>-1.9</v>
      </c>
      <c r="F3">
        <v>62.38</v>
      </c>
      <c r="G3">
        <v>0.56999999999999995</v>
      </c>
      <c r="H3">
        <v>2092.23</v>
      </c>
      <c r="I3">
        <v>0.67</v>
      </c>
      <c r="J3">
        <v>0.57999999999999996</v>
      </c>
      <c r="K3">
        <v>1.38</v>
      </c>
      <c r="L3" t="s">
        <v>33</v>
      </c>
      <c r="M3">
        <v>2074.71</v>
      </c>
      <c r="N3">
        <v>2127.36</v>
      </c>
      <c r="O3">
        <v>2022.05</v>
      </c>
      <c r="P3">
        <v>2211.62</v>
      </c>
      <c r="Q3">
        <v>2316.9299999999998</v>
      </c>
      <c r="R3">
        <v>65</v>
      </c>
      <c r="S3" t="s">
        <v>21</v>
      </c>
    </row>
    <row r="4" spans="1:19" x14ac:dyDescent="0.2">
      <c r="A4" t="s">
        <v>29</v>
      </c>
      <c r="B4" s="2">
        <v>46024</v>
      </c>
      <c r="C4">
        <v>1511.6</v>
      </c>
      <c r="D4">
        <v>1460.6</v>
      </c>
      <c r="E4">
        <v>-3.37</v>
      </c>
      <c r="F4">
        <v>48.29</v>
      </c>
      <c r="G4">
        <v>-5.71</v>
      </c>
      <c r="H4">
        <v>1515.51</v>
      </c>
      <c r="I4">
        <v>-0.26</v>
      </c>
      <c r="J4">
        <v>0.88</v>
      </c>
      <c r="K4">
        <v>1.56</v>
      </c>
      <c r="L4" t="s">
        <v>25</v>
      </c>
      <c r="M4">
        <v>1500.35</v>
      </c>
      <c r="N4">
        <v>1526.72</v>
      </c>
      <c r="O4">
        <v>1451.14</v>
      </c>
      <c r="P4">
        <v>1587.18</v>
      </c>
      <c r="Q4">
        <v>1662.76</v>
      </c>
      <c r="R4">
        <v>35</v>
      </c>
      <c r="S4" t="s">
        <v>30</v>
      </c>
    </row>
    <row r="5" spans="1:19" x14ac:dyDescent="0.2">
      <c r="A5" t="s">
        <v>43</v>
      </c>
      <c r="B5" s="2">
        <v>46024</v>
      </c>
      <c r="C5">
        <v>4163.3999999999996</v>
      </c>
      <c r="D5">
        <v>4028.4</v>
      </c>
      <c r="E5">
        <v>-3.24</v>
      </c>
      <c r="F5">
        <v>69.36</v>
      </c>
      <c r="G5">
        <v>15.5</v>
      </c>
      <c r="H5">
        <v>4040.88</v>
      </c>
      <c r="I5">
        <v>3.03</v>
      </c>
      <c r="J5">
        <v>0.77</v>
      </c>
      <c r="K5">
        <v>1.89</v>
      </c>
      <c r="L5" t="s">
        <v>25</v>
      </c>
      <c r="M5">
        <v>4100.95</v>
      </c>
      <c r="N5">
        <v>4205.03</v>
      </c>
      <c r="O5">
        <v>3919.65</v>
      </c>
      <c r="P5">
        <v>4371.57</v>
      </c>
      <c r="Q5">
        <v>4579.74</v>
      </c>
      <c r="R5">
        <v>68</v>
      </c>
      <c r="S5" t="s">
        <v>21</v>
      </c>
    </row>
    <row r="6" spans="1:19" x14ac:dyDescent="0.2">
      <c r="A6" t="s">
        <v>49</v>
      </c>
      <c r="B6" s="2">
        <v>46024</v>
      </c>
      <c r="C6">
        <v>270.95</v>
      </c>
      <c r="D6">
        <v>259.3</v>
      </c>
      <c r="E6">
        <v>-4.3</v>
      </c>
      <c r="F6">
        <v>45.1</v>
      </c>
      <c r="G6">
        <v>-0.84</v>
      </c>
      <c r="H6">
        <v>270.3</v>
      </c>
      <c r="I6">
        <v>0.24</v>
      </c>
      <c r="J6">
        <v>0.74</v>
      </c>
      <c r="K6">
        <v>1.21</v>
      </c>
      <c r="L6" t="s">
        <v>33</v>
      </c>
      <c r="M6">
        <v>267.60000000000002</v>
      </c>
      <c r="N6">
        <v>273.66000000000003</v>
      </c>
      <c r="O6">
        <v>260.11</v>
      </c>
      <c r="P6">
        <v>284.5</v>
      </c>
      <c r="Q6">
        <v>298.05</v>
      </c>
      <c r="R6">
        <v>35</v>
      </c>
      <c r="S6" t="s">
        <v>30</v>
      </c>
    </row>
    <row r="7" spans="1:19" x14ac:dyDescent="0.2">
      <c r="A7" t="s">
        <v>50</v>
      </c>
      <c r="B7" s="2">
        <v>46024</v>
      </c>
      <c r="C7">
        <v>1592.3</v>
      </c>
      <c r="D7">
        <v>1470.6</v>
      </c>
      <c r="E7">
        <v>-7.64</v>
      </c>
      <c r="F7">
        <v>68.38</v>
      </c>
      <c r="G7">
        <v>10.76</v>
      </c>
      <c r="H7">
        <v>1541.11</v>
      </c>
      <c r="I7">
        <v>3.32</v>
      </c>
      <c r="J7">
        <v>0.7</v>
      </c>
      <c r="K7">
        <v>1.66</v>
      </c>
      <c r="L7" t="s">
        <v>25</v>
      </c>
      <c r="M7">
        <v>1568.42</v>
      </c>
      <c r="N7">
        <v>1608.22</v>
      </c>
      <c r="O7">
        <v>1494.88</v>
      </c>
      <c r="P7">
        <v>1671.92</v>
      </c>
      <c r="Q7">
        <v>1751.53</v>
      </c>
      <c r="R7">
        <v>68</v>
      </c>
      <c r="S7" t="s">
        <v>21</v>
      </c>
    </row>
    <row r="8" spans="1:19" x14ac:dyDescent="0.2">
      <c r="A8" t="s">
        <v>52</v>
      </c>
      <c r="B8" s="2">
        <v>46024</v>
      </c>
      <c r="C8">
        <v>182.88</v>
      </c>
      <c r="D8">
        <v>180.12</v>
      </c>
      <c r="E8">
        <v>-1.51</v>
      </c>
      <c r="F8">
        <v>63.77</v>
      </c>
      <c r="G8">
        <v>-0.5</v>
      </c>
      <c r="H8">
        <v>173.41</v>
      </c>
      <c r="I8">
        <v>5.46</v>
      </c>
      <c r="J8">
        <v>1.52</v>
      </c>
      <c r="K8">
        <v>1.24</v>
      </c>
      <c r="L8" t="s">
        <v>33</v>
      </c>
      <c r="M8">
        <v>180.14</v>
      </c>
      <c r="N8">
        <v>184.71</v>
      </c>
      <c r="O8">
        <v>168.21</v>
      </c>
      <c r="P8">
        <v>192.02</v>
      </c>
      <c r="Q8">
        <v>201.17</v>
      </c>
      <c r="R8">
        <v>65</v>
      </c>
      <c r="S8" t="s">
        <v>30</v>
      </c>
    </row>
    <row r="9" spans="1:19" x14ac:dyDescent="0.2">
      <c r="A9" t="s">
        <v>53</v>
      </c>
      <c r="B9" s="2">
        <v>46024</v>
      </c>
      <c r="C9">
        <v>1612</v>
      </c>
      <c r="D9">
        <v>1577.9</v>
      </c>
      <c r="E9">
        <v>-2.12</v>
      </c>
      <c r="F9">
        <v>62.08</v>
      </c>
      <c r="G9">
        <v>22.03</v>
      </c>
      <c r="H9">
        <v>1521.51</v>
      </c>
      <c r="I9">
        <v>5.95</v>
      </c>
      <c r="J9">
        <v>0.59</v>
      </c>
      <c r="K9">
        <v>1.71</v>
      </c>
      <c r="L9" t="s">
        <v>25</v>
      </c>
      <c r="M9">
        <v>1587.82</v>
      </c>
      <c r="N9">
        <v>1628.12</v>
      </c>
      <c r="O9">
        <v>1475.86</v>
      </c>
      <c r="P9">
        <v>1692.6</v>
      </c>
      <c r="Q9">
        <v>1773.2</v>
      </c>
      <c r="R9">
        <v>75</v>
      </c>
      <c r="S9" t="s">
        <v>21</v>
      </c>
    </row>
    <row r="10" spans="1:19" x14ac:dyDescent="0.2">
      <c r="A10" t="s">
        <v>57</v>
      </c>
      <c r="B10" s="2">
        <v>46024</v>
      </c>
      <c r="C10">
        <v>269</v>
      </c>
      <c r="D10">
        <v>262.2</v>
      </c>
      <c r="E10">
        <v>-2.5299999999999998</v>
      </c>
      <c r="F10">
        <v>61.77</v>
      </c>
      <c r="G10">
        <v>3.39</v>
      </c>
      <c r="H10">
        <v>253.58</v>
      </c>
      <c r="I10">
        <v>6.08</v>
      </c>
      <c r="J10">
        <v>0.65</v>
      </c>
      <c r="K10">
        <v>1.54</v>
      </c>
      <c r="L10" t="s">
        <v>25</v>
      </c>
      <c r="M10">
        <v>264.95999999999998</v>
      </c>
      <c r="N10">
        <v>271.69</v>
      </c>
      <c r="O10">
        <v>245.97</v>
      </c>
      <c r="P10">
        <v>282.45</v>
      </c>
      <c r="Q10">
        <v>295.89999999999998</v>
      </c>
      <c r="R10">
        <v>50</v>
      </c>
      <c r="S10" t="s">
        <v>21</v>
      </c>
    </row>
    <row r="11" spans="1:19" x14ac:dyDescent="0.2">
      <c r="A11" t="s">
        <v>58</v>
      </c>
      <c r="B11" s="2">
        <v>46024</v>
      </c>
      <c r="C11">
        <v>5205.5</v>
      </c>
      <c r="D11">
        <v>5021</v>
      </c>
      <c r="E11">
        <v>-3.54</v>
      </c>
      <c r="F11">
        <v>46.35</v>
      </c>
      <c r="G11">
        <v>36.79</v>
      </c>
      <c r="H11">
        <v>5147.3</v>
      </c>
      <c r="I11">
        <v>1.1299999999999999</v>
      </c>
      <c r="J11">
        <v>0.36</v>
      </c>
      <c r="K11">
        <v>4.6900000000000004</v>
      </c>
      <c r="L11" t="s">
        <v>25</v>
      </c>
      <c r="M11">
        <v>5127.42</v>
      </c>
      <c r="N11">
        <v>5257.56</v>
      </c>
      <c r="O11">
        <v>4992.88</v>
      </c>
      <c r="P11">
        <v>5465.78</v>
      </c>
      <c r="Q11">
        <v>5726.05</v>
      </c>
      <c r="R11">
        <v>60</v>
      </c>
      <c r="S11" t="s">
        <v>30</v>
      </c>
    </row>
    <row r="12" spans="1:19" x14ac:dyDescent="0.2">
      <c r="A12" t="s">
        <v>67</v>
      </c>
      <c r="B12" s="2">
        <v>46024</v>
      </c>
      <c r="C12">
        <v>1973.9</v>
      </c>
      <c r="D12">
        <v>1908.2</v>
      </c>
      <c r="E12">
        <v>-3.33</v>
      </c>
      <c r="F12">
        <v>55.01</v>
      </c>
      <c r="G12">
        <v>-2.69</v>
      </c>
      <c r="H12">
        <v>1978.41</v>
      </c>
      <c r="I12">
        <v>-0.23</v>
      </c>
      <c r="J12">
        <v>0.85</v>
      </c>
      <c r="K12">
        <v>1.27</v>
      </c>
      <c r="L12" t="s">
        <v>33</v>
      </c>
      <c r="M12">
        <v>1958.63</v>
      </c>
      <c r="N12">
        <v>1993.64</v>
      </c>
      <c r="O12">
        <v>1894.94</v>
      </c>
      <c r="P12">
        <v>2072.6</v>
      </c>
      <c r="Q12">
        <v>2171.29</v>
      </c>
      <c r="R12">
        <v>43</v>
      </c>
      <c r="S12" t="s">
        <v>30</v>
      </c>
    </row>
    <row r="13" spans="1:19" x14ac:dyDescent="0.2">
      <c r="A13" t="s">
        <v>69</v>
      </c>
      <c r="B13" s="2">
        <v>46024</v>
      </c>
      <c r="C13">
        <v>166.79</v>
      </c>
      <c r="D13">
        <v>156.37</v>
      </c>
      <c r="E13">
        <v>-6.25</v>
      </c>
      <c r="F13">
        <v>67.05</v>
      </c>
      <c r="G13">
        <v>0.67</v>
      </c>
      <c r="H13">
        <v>161.79</v>
      </c>
      <c r="I13">
        <v>3.09</v>
      </c>
      <c r="J13">
        <v>1.08</v>
      </c>
      <c r="K13">
        <v>1.2</v>
      </c>
      <c r="L13" t="s">
        <v>33</v>
      </c>
      <c r="M13">
        <v>164.29</v>
      </c>
      <c r="N13">
        <v>168.46</v>
      </c>
      <c r="O13">
        <v>156.93</v>
      </c>
      <c r="P13">
        <v>175.13</v>
      </c>
      <c r="Q13">
        <v>183.47</v>
      </c>
      <c r="R13">
        <v>70</v>
      </c>
      <c r="S13" t="s">
        <v>21</v>
      </c>
    </row>
    <row r="14" spans="1:19" x14ac:dyDescent="0.2">
      <c r="A14" t="s">
        <v>74</v>
      </c>
      <c r="B14" s="2">
        <v>46024</v>
      </c>
      <c r="C14">
        <v>1367.7</v>
      </c>
      <c r="D14">
        <v>1337.4</v>
      </c>
      <c r="E14">
        <v>-2.2200000000000002</v>
      </c>
      <c r="F14">
        <v>49.66</v>
      </c>
      <c r="G14">
        <v>6.11</v>
      </c>
      <c r="H14">
        <v>1355.14</v>
      </c>
      <c r="I14">
        <v>0.93</v>
      </c>
      <c r="J14">
        <v>0.46</v>
      </c>
      <c r="K14">
        <v>1.44</v>
      </c>
      <c r="L14" t="s">
        <v>33</v>
      </c>
      <c r="M14">
        <v>1347.18</v>
      </c>
      <c r="N14">
        <v>1381.38</v>
      </c>
      <c r="O14">
        <v>1312.99</v>
      </c>
      <c r="P14">
        <v>1436.08</v>
      </c>
      <c r="Q14">
        <v>1504.47</v>
      </c>
      <c r="R14">
        <v>53</v>
      </c>
      <c r="S14" t="s">
        <v>30</v>
      </c>
    </row>
    <row r="15" spans="1:19" x14ac:dyDescent="0.2">
      <c r="A15" t="s">
        <v>75</v>
      </c>
      <c r="B15" s="2">
        <v>46024</v>
      </c>
      <c r="C15">
        <v>84.53</v>
      </c>
      <c r="D15">
        <v>81.59</v>
      </c>
      <c r="E15">
        <v>-3.48</v>
      </c>
      <c r="F15">
        <v>68.040000000000006</v>
      </c>
      <c r="G15">
        <v>0.64</v>
      </c>
      <c r="H15">
        <v>77.19</v>
      </c>
      <c r="I15">
        <v>9.52</v>
      </c>
      <c r="J15">
        <v>1.75</v>
      </c>
      <c r="K15">
        <v>1.53</v>
      </c>
      <c r="L15" t="s">
        <v>25</v>
      </c>
      <c r="M15">
        <v>83.26</v>
      </c>
      <c r="N15">
        <v>85.38</v>
      </c>
      <c r="O15">
        <v>74.87</v>
      </c>
      <c r="P15">
        <v>88.76</v>
      </c>
      <c r="Q15">
        <v>92.98</v>
      </c>
      <c r="R15">
        <v>70</v>
      </c>
      <c r="S15" t="s">
        <v>21</v>
      </c>
    </row>
    <row r="16" spans="1:19" x14ac:dyDescent="0.2">
      <c r="A16" t="s">
        <v>82</v>
      </c>
      <c r="B16" s="2">
        <v>46024</v>
      </c>
      <c r="C16">
        <v>616.95000000000005</v>
      </c>
      <c r="D16">
        <v>603.5</v>
      </c>
      <c r="E16">
        <v>-2.1800000000000002</v>
      </c>
      <c r="F16">
        <v>78.11</v>
      </c>
      <c r="G16">
        <v>11.73</v>
      </c>
      <c r="H16">
        <v>542.39</v>
      </c>
      <c r="I16">
        <v>13.75</v>
      </c>
      <c r="J16">
        <v>1.1599999999999999</v>
      </c>
      <c r="K16">
        <v>1.48</v>
      </c>
      <c r="L16" t="s">
        <v>33</v>
      </c>
      <c r="M16">
        <v>607.70000000000005</v>
      </c>
      <c r="N16">
        <v>623.12</v>
      </c>
      <c r="O16">
        <v>526.12</v>
      </c>
      <c r="P16">
        <v>647.79999999999995</v>
      </c>
      <c r="Q16">
        <v>678.65</v>
      </c>
      <c r="R16">
        <v>61</v>
      </c>
      <c r="S16"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25CE7-513E-F148-891E-DE224B262998}">
  <dimension ref="A2:R16"/>
  <sheetViews>
    <sheetView workbookViewId="0">
      <selection activeCell="G10" sqref="G10"/>
    </sheetView>
  </sheetViews>
  <sheetFormatPr baseColWidth="10" defaultRowHeight="16" x14ac:dyDescent="0.2"/>
  <cols>
    <col min="1" max="1" width="10.83203125" style="38"/>
    <col min="2" max="2" width="47" style="38" customWidth="1"/>
    <col min="3" max="7" width="10.83203125" style="38"/>
    <col min="8" max="8" width="14" style="38" customWidth="1"/>
    <col min="9" max="9" width="11.5" style="38" bestFit="1" customWidth="1"/>
    <col min="10" max="10" width="10.83203125" style="38"/>
    <col min="11" max="11" width="10.83203125" style="48"/>
    <col min="12" max="12" width="5.6640625" style="38" customWidth="1"/>
    <col min="13" max="13" width="12.1640625" style="38" customWidth="1"/>
    <col min="14" max="14" width="10.1640625" style="38" customWidth="1"/>
    <col min="15" max="15" width="15.1640625" style="38" customWidth="1"/>
    <col min="16" max="16" width="8.83203125" style="38" bestFit="1" customWidth="1"/>
    <col min="17" max="16384" width="10.83203125" style="38"/>
  </cols>
  <sheetData>
    <row r="2" spans="1:18" x14ac:dyDescent="0.2">
      <c r="C2" s="38" t="s">
        <v>149</v>
      </c>
      <c r="D2" s="38" t="s">
        <v>150</v>
      </c>
      <c r="E2" s="38" t="s">
        <v>151</v>
      </c>
      <c r="F2" s="38" t="s">
        <v>152</v>
      </c>
      <c r="G2" s="38" t="s">
        <v>153</v>
      </c>
      <c r="H2" s="38" t="s">
        <v>154</v>
      </c>
      <c r="M2" s="38" t="s">
        <v>162</v>
      </c>
      <c r="N2" s="38" t="s">
        <v>161</v>
      </c>
      <c r="O2" s="39" t="s">
        <v>165</v>
      </c>
      <c r="P2" s="39"/>
      <c r="Q2" s="39" t="s">
        <v>166</v>
      </c>
      <c r="R2" s="39"/>
    </row>
    <row r="3" spans="1:18" s="43" customFormat="1" x14ac:dyDescent="0.2">
      <c r="A3" s="43" t="s">
        <v>155</v>
      </c>
      <c r="B3" s="43" t="e" vm="61">
        <v>#VALUE!</v>
      </c>
      <c r="C3" s="44">
        <v>45942</v>
      </c>
      <c r="D3" s="45">
        <v>6</v>
      </c>
      <c r="E3" s="43">
        <v>4685.5</v>
      </c>
      <c r="F3" s="43">
        <f>D3*E3</f>
        <v>28113</v>
      </c>
      <c r="G3" s="43" t="s">
        <v>118</v>
      </c>
      <c r="H3" s="43">
        <v>22840</v>
      </c>
      <c r="I3" s="43">
        <f>H3-F3</f>
        <v>-5273</v>
      </c>
      <c r="J3" s="46">
        <f t="shared" ref="J3:J7" si="0">I3/F3</f>
        <v>-0.1875644719524775</v>
      </c>
      <c r="K3" s="49"/>
      <c r="L3" s="50">
        <v>6</v>
      </c>
      <c r="M3" s="46" t="s">
        <v>163</v>
      </c>
      <c r="N3" s="43">
        <v>3806.8</v>
      </c>
      <c r="O3" s="43">
        <f>N3*L3</f>
        <v>22840.800000000003</v>
      </c>
      <c r="Q3" s="43">
        <f>F3-O3</f>
        <v>5272.1999999999971</v>
      </c>
    </row>
    <row r="4" spans="1:18" x14ac:dyDescent="0.2">
      <c r="A4" s="38" t="s">
        <v>156</v>
      </c>
      <c r="B4" s="38" t="e" vm="46">
        <v>#VALUE!</v>
      </c>
      <c r="C4" s="42" t="s">
        <v>157</v>
      </c>
      <c r="D4" s="40">
        <v>205</v>
      </c>
      <c r="E4" s="38">
        <v>145.74</v>
      </c>
      <c r="F4" s="38">
        <f t="shared" ref="F4:F9" si="1">D4*E4</f>
        <v>29876.7</v>
      </c>
      <c r="G4" s="38" cm="1">
        <f t="array" aca="1" ref="G4" ca="1">_FV(B4,"Price")</f>
        <v>157.13</v>
      </c>
      <c r="H4" s="38">
        <f t="shared" ref="H4:H10" ca="1" si="2">G4*D4</f>
        <v>32211.649999999998</v>
      </c>
      <c r="I4" s="38">
        <f ca="1">H4-F4</f>
        <v>2334.9499999999971</v>
      </c>
      <c r="J4" s="41">
        <f t="shared" ca="1" si="0"/>
        <v>7.8152874982846066E-2</v>
      </c>
      <c r="K4" s="49"/>
      <c r="L4" s="41"/>
      <c r="M4" s="41"/>
    </row>
    <row r="5" spans="1:18" x14ac:dyDescent="0.2">
      <c r="A5" s="38" t="s">
        <v>156</v>
      </c>
      <c r="B5" s="38" t="e" vm="62">
        <v>#VALUE!</v>
      </c>
      <c r="C5" s="42" t="s">
        <v>158</v>
      </c>
      <c r="D5" s="40">
        <v>250</v>
      </c>
      <c r="E5" s="38">
        <v>84.16</v>
      </c>
      <c r="F5" s="38">
        <f t="shared" si="1"/>
        <v>21040</v>
      </c>
      <c r="G5" s="38" cm="1">
        <f t="array" aca="1" ref="G5" ca="1">_FV(B5,"Price")</f>
        <v>83.79</v>
      </c>
      <c r="H5" s="38">
        <f t="shared" ca="1" si="2"/>
        <v>20947.5</v>
      </c>
      <c r="I5" s="38">
        <f ca="1">H5-F5</f>
        <v>-92.5</v>
      </c>
      <c r="J5" s="41">
        <f t="shared" ca="1" si="0"/>
        <v>-4.3963878326996201E-3</v>
      </c>
      <c r="K5" s="49"/>
      <c r="L5" s="41"/>
      <c r="M5" s="41"/>
    </row>
    <row r="6" spans="1:18" x14ac:dyDescent="0.2">
      <c r="A6" s="38" t="s">
        <v>155</v>
      </c>
      <c r="B6" s="38" t="e" vm="63">
        <v>#VALUE!</v>
      </c>
      <c r="C6" s="42" t="s">
        <v>159</v>
      </c>
      <c r="D6" s="40">
        <v>6</v>
      </c>
      <c r="E6" s="38">
        <v>5146</v>
      </c>
      <c r="F6" s="38">
        <f t="shared" si="1"/>
        <v>30876</v>
      </c>
      <c r="G6" s="38" cm="1">
        <f t="array" aca="1" ref="G6" ca="1">_FV(B6,"Price")</f>
        <v>4740</v>
      </c>
      <c r="H6" s="38">
        <f t="shared" ca="1" si="2"/>
        <v>28440</v>
      </c>
      <c r="I6" s="38">
        <f ca="1">H6-F6</f>
        <v>-2436</v>
      </c>
      <c r="J6" s="41">
        <f t="shared" ca="1" si="0"/>
        <v>-7.8896230081616794E-2</v>
      </c>
      <c r="K6" s="49"/>
      <c r="L6" s="41"/>
      <c r="M6" s="41"/>
    </row>
    <row r="7" spans="1:18" x14ac:dyDescent="0.2">
      <c r="A7" s="38" t="s">
        <v>156</v>
      </c>
      <c r="B7" s="38" t="e" vm="64">
        <v>#VALUE!</v>
      </c>
      <c r="C7" s="42" t="s">
        <v>160</v>
      </c>
      <c r="D7" s="40">
        <v>9</v>
      </c>
      <c r="E7" s="38">
        <v>3279.8</v>
      </c>
      <c r="F7" s="38">
        <f t="shared" si="1"/>
        <v>29518.2</v>
      </c>
      <c r="G7" s="38" cm="1">
        <f t="array" aca="1" ref="G7" ca="1">_FV(B7,"Price")</f>
        <v>3206.7</v>
      </c>
      <c r="H7" s="38">
        <f t="shared" ca="1" si="2"/>
        <v>28860.3</v>
      </c>
      <c r="I7" s="38">
        <f t="shared" ref="I7" ca="1" si="3">H7-F7</f>
        <v>-657.90000000000146</v>
      </c>
      <c r="J7" s="41">
        <f t="shared" ca="1" si="0"/>
        <v>-2.2287944386852904E-2</v>
      </c>
      <c r="K7" s="49"/>
      <c r="L7" s="41"/>
      <c r="M7" s="41"/>
    </row>
    <row r="8" spans="1:18" x14ac:dyDescent="0.2">
      <c r="A8" s="38" t="s">
        <v>156</v>
      </c>
      <c r="B8" s="38" t="e" vm="54">
        <v>#VALUE!</v>
      </c>
      <c r="C8" s="42" t="s">
        <v>160</v>
      </c>
      <c r="D8" s="40">
        <v>18</v>
      </c>
      <c r="E8" s="38">
        <v>1652</v>
      </c>
      <c r="F8" s="38">
        <f t="shared" si="1"/>
        <v>29736</v>
      </c>
      <c r="G8" s="38" cm="1">
        <f t="array" aca="1" ref="G8" ca="1">_FV(B8,"Price")</f>
        <v>1689.8</v>
      </c>
      <c r="H8" s="38">
        <f t="shared" ca="1" si="2"/>
        <v>30416.399999999998</v>
      </c>
      <c r="I8" s="38">
        <f ca="1">H8-F8</f>
        <v>680.39999999999782</v>
      </c>
      <c r="J8" s="41">
        <f ca="1">I8/F8</f>
        <v>2.2881355932203317E-2</v>
      </c>
      <c r="K8" s="49"/>
      <c r="L8" s="41"/>
      <c r="M8" s="41"/>
    </row>
    <row r="9" spans="1:18" x14ac:dyDescent="0.2">
      <c r="A9" s="38" t="s">
        <v>156</v>
      </c>
      <c r="B9" s="38" t="e" vm="37">
        <v>#VALUE!</v>
      </c>
      <c r="C9" s="38" t="s">
        <v>164</v>
      </c>
      <c r="D9" s="38">
        <v>18</v>
      </c>
      <c r="E9" s="38">
        <v>1622.8</v>
      </c>
      <c r="F9" s="38">
        <f t="shared" si="1"/>
        <v>29210.399999999998</v>
      </c>
      <c r="G9" s="38" cm="1">
        <f t="array" aca="1" ref="G9" ca="1">_FV(B9,"Price")</f>
        <v>1698</v>
      </c>
      <c r="H9" s="38">
        <f t="shared" ca="1" si="2"/>
        <v>30564</v>
      </c>
      <c r="I9" s="38">
        <f t="shared" ref="I9:I10" ca="1" si="4">H9-F9</f>
        <v>1353.6000000000022</v>
      </c>
      <c r="J9" s="41">
        <f t="shared" ref="J9:J10" ca="1" si="5">I9/F9</f>
        <v>4.6339659847177798E-2</v>
      </c>
    </row>
    <row r="10" spans="1:18" x14ac:dyDescent="0.2">
      <c r="A10" s="38" t="s">
        <v>156</v>
      </c>
      <c r="B10" s="38" t="e" vm="65">
        <v>#VALUE!</v>
      </c>
      <c r="C10" s="47">
        <v>46174</v>
      </c>
      <c r="D10" s="38">
        <v>20</v>
      </c>
      <c r="E10" s="38">
        <v>1500.9</v>
      </c>
      <c r="F10" s="38">
        <v>30018</v>
      </c>
      <c r="G10" s="54">
        <v>1483</v>
      </c>
      <c r="H10" s="38">
        <f>G10*D10</f>
        <v>29660</v>
      </c>
      <c r="I10" s="38">
        <f t="shared" si="4"/>
        <v>-358</v>
      </c>
      <c r="J10" s="41">
        <f t="shared" si="5"/>
        <v>-1.1926177626757279E-2</v>
      </c>
    </row>
    <row r="11" spans="1:18" x14ac:dyDescent="0.2">
      <c r="F11" s="38">
        <f>SUM(F3:F10)</f>
        <v>228388.3</v>
      </c>
      <c r="H11" s="38">
        <f ca="1">SUM(H3:H10)</f>
        <v>223939.84999999998</v>
      </c>
      <c r="I11" s="55">
        <f ca="1">SUM(I4:I10)</f>
        <v>824.54999999999563</v>
      </c>
    </row>
    <row r="15" spans="1:18" x14ac:dyDescent="0.2">
      <c r="B15" s="38" t="s">
        <v>167</v>
      </c>
      <c r="F15" s="38">
        <f>F11-O3</f>
        <v>205547.5</v>
      </c>
      <c r="N15" s="38" t="s">
        <v>118</v>
      </c>
    </row>
    <row r="16" spans="1:18" x14ac:dyDescent="0.2">
      <c r="N16" s="38" t="s">
        <v>118</v>
      </c>
    </row>
  </sheetData>
  <conditionalFormatting sqref="I3:I10">
    <cfRule type="cellIs" dxfId="2" priority="1" operator="greaterThan">
      <formula>0</formula>
    </cfRule>
    <cfRule type="cellIs" dxfId="1" priority="2" operator="lessThan">
      <formula>0</formula>
    </cfRule>
    <cfRule type="expression" dxfId="0" priority="3">
      <formula>"&lt;0"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E35F-E55D-7742-A1D3-30564BBD3517}">
  <dimension ref="A1:T7"/>
  <sheetViews>
    <sheetView workbookViewId="0">
      <selection activeCell="A2" sqref="A2:A7"/>
    </sheetView>
  </sheetViews>
  <sheetFormatPr baseColWidth="10" defaultColWidth="8.83203125" defaultRowHeight="15" x14ac:dyDescent="0.2"/>
  <cols>
    <col min="1" max="1" width="43.1640625" customWidth="1"/>
    <col min="2" max="2" width="15.5" bestFit="1" customWidth="1"/>
    <col min="3" max="3" width="11.5" bestFit="1" customWidth="1"/>
    <col min="4" max="4" width="10.1640625" bestFit="1" customWidth="1"/>
    <col min="8" max="8" width="12" customWidth="1"/>
    <col min="9" max="9" width="13.1640625" customWidth="1"/>
    <col min="10" max="10" width="11.5" bestFit="1" customWidth="1"/>
    <col min="11" max="11" width="13.1640625" bestFit="1" customWidth="1"/>
    <col min="12" max="12" width="18" customWidth="1"/>
    <col min="19" max="19" width="18.6640625" bestFit="1"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0" x14ac:dyDescent="0.2">
      <c r="A2" t="e" vm="58">
        <v>#VALUE!</v>
      </c>
      <c r="B2" s="2">
        <v>46031</v>
      </c>
      <c r="C2">
        <v>2825.5</v>
      </c>
      <c r="D2" s="51" cm="1">
        <f t="array" aca="1" ref="D2" ca="1">_FV(A2,"Price")</f>
        <v>2756.9</v>
      </c>
      <c r="E2">
        <v>0.41</v>
      </c>
      <c r="F2">
        <v>61.14</v>
      </c>
      <c r="G2">
        <v>10.89</v>
      </c>
      <c r="H2">
        <v>2814.04</v>
      </c>
      <c r="I2">
        <v>0.41</v>
      </c>
      <c r="J2">
        <v>0.8</v>
      </c>
      <c r="K2">
        <v>0.09</v>
      </c>
      <c r="L2" t="s">
        <v>20</v>
      </c>
      <c r="M2">
        <v>2785.9</v>
      </c>
      <c r="N2">
        <v>2853.76</v>
      </c>
      <c r="O2">
        <v>2712.48</v>
      </c>
      <c r="P2">
        <v>2966.78</v>
      </c>
      <c r="Q2">
        <v>3108.05</v>
      </c>
      <c r="R2">
        <v>73</v>
      </c>
      <c r="S2" t="s">
        <v>21</v>
      </c>
      <c r="T2">
        <f ca="1">M2-D2</f>
        <v>29</v>
      </c>
    </row>
    <row r="3" spans="1:20" x14ac:dyDescent="0.2">
      <c r="A3" t="e" vm="37">
        <v>#VALUE!</v>
      </c>
      <c r="B3" s="2">
        <v>46031</v>
      </c>
      <c r="C3">
        <v>1661.4</v>
      </c>
      <c r="D3" s="51" cm="1">
        <f t="array" aca="1" ref="D3" ca="1">_FV(A3,"Price")</f>
        <v>1698</v>
      </c>
      <c r="E3">
        <v>0.43</v>
      </c>
      <c r="F3">
        <v>59.99</v>
      </c>
      <c r="G3">
        <v>17.670000000000002</v>
      </c>
      <c r="H3">
        <v>1630.03</v>
      </c>
      <c r="I3">
        <v>1.92</v>
      </c>
      <c r="J3">
        <v>1.35</v>
      </c>
      <c r="K3">
        <v>0.1</v>
      </c>
      <c r="L3" t="s">
        <v>20</v>
      </c>
      <c r="M3">
        <v>1636.48</v>
      </c>
      <c r="N3">
        <v>1678.01</v>
      </c>
      <c r="O3">
        <v>1581.13</v>
      </c>
      <c r="P3">
        <v>1744.47</v>
      </c>
      <c r="Q3">
        <v>1827.54</v>
      </c>
      <c r="R3">
        <v>81</v>
      </c>
      <c r="S3" t="s">
        <v>21</v>
      </c>
      <c r="T3">
        <f t="shared" ref="T3:T7" ca="1" si="0">M3-D3</f>
        <v>-61.519999999999982</v>
      </c>
    </row>
    <row r="4" spans="1:20" x14ac:dyDescent="0.2">
      <c r="A4" t="e" vm="43">
        <v>#VALUE!</v>
      </c>
      <c r="B4" s="2">
        <v>46031</v>
      </c>
      <c r="C4">
        <v>4025.2</v>
      </c>
      <c r="D4" s="51" cm="1">
        <f t="array" aca="1" ref="D4" ca="1">_FV(A4,"Price")</f>
        <v>3856.4</v>
      </c>
      <c r="E4">
        <v>-0.92</v>
      </c>
      <c r="F4">
        <v>59.34</v>
      </c>
      <c r="G4">
        <v>5.62</v>
      </c>
      <c r="H4">
        <v>4040.31</v>
      </c>
      <c r="I4">
        <v>-0.37</v>
      </c>
      <c r="J4">
        <v>1.01</v>
      </c>
      <c r="K4">
        <v>0.17</v>
      </c>
      <c r="L4" t="s">
        <v>20</v>
      </c>
      <c r="M4">
        <v>3999.91</v>
      </c>
      <c r="N4">
        <v>4065.45</v>
      </c>
      <c r="O4">
        <v>3864.19</v>
      </c>
      <c r="P4">
        <v>4226.46</v>
      </c>
      <c r="Q4">
        <v>4427.72</v>
      </c>
      <c r="R4">
        <v>76</v>
      </c>
      <c r="S4" t="s">
        <v>21</v>
      </c>
      <c r="T4">
        <f t="shared" ca="1" si="0"/>
        <v>143.50999999999976</v>
      </c>
    </row>
    <row r="5" spans="1:20" x14ac:dyDescent="0.2">
      <c r="A5" t="e" vm="22">
        <v>#VALUE!</v>
      </c>
      <c r="B5" s="2">
        <v>46031</v>
      </c>
      <c r="C5">
        <v>1299.0999999999999</v>
      </c>
      <c r="D5" s="51" cm="1">
        <f t="array" aca="1" ref="D5" ca="1">_FV(A5,"Price")</f>
        <v>1315.9</v>
      </c>
      <c r="E5">
        <v>-0.01</v>
      </c>
      <c r="F5">
        <v>62.71</v>
      </c>
      <c r="G5">
        <v>2.4</v>
      </c>
      <c r="H5">
        <v>1265.71</v>
      </c>
      <c r="I5">
        <v>2.64</v>
      </c>
      <c r="J5">
        <v>1.03</v>
      </c>
      <c r="K5">
        <v>0.03</v>
      </c>
      <c r="L5" t="s">
        <v>20</v>
      </c>
      <c r="M5">
        <v>1279.6099999999999</v>
      </c>
      <c r="N5">
        <v>1312.09</v>
      </c>
      <c r="O5">
        <v>1227.74</v>
      </c>
      <c r="P5">
        <v>1364.05</v>
      </c>
      <c r="Q5">
        <v>1429.01</v>
      </c>
      <c r="R5">
        <v>70</v>
      </c>
      <c r="S5" t="s">
        <v>21</v>
      </c>
      <c r="T5">
        <f t="shared" ca="1" si="0"/>
        <v>-36.290000000000191</v>
      </c>
    </row>
    <row r="6" spans="1:20" x14ac:dyDescent="0.2">
      <c r="A6" t="e" vm="66">
        <v>#VALUE!</v>
      </c>
      <c r="B6" s="2">
        <v>46031</v>
      </c>
      <c r="C6">
        <v>771.7</v>
      </c>
      <c r="D6" s="51" cm="1">
        <f t="array" aca="1" ref="D6" ca="1">_FV(A6,"Price")</f>
        <v>790.15</v>
      </c>
      <c r="E6">
        <v>0.56000000000000005</v>
      </c>
      <c r="F6">
        <v>61.28</v>
      </c>
      <c r="G6">
        <v>3.96</v>
      </c>
      <c r="H6">
        <v>762.54</v>
      </c>
      <c r="I6">
        <v>1.2</v>
      </c>
      <c r="J6">
        <v>1</v>
      </c>
      <c r="K6">
        <v>0.2</v>
      </c>
      <c r="L6" t="s">
        <v>20</v>
      </c>
      <c r="M6">
        <v>760.12</v>
      </c>
      <c r="N6">
        <v>779.42</v>
      </c>
      <c r="O6">
        <v>739.67</v>
      </c>
      <c r="P6">
        <v>810.29</v>
      </c>
      <c r="Q6">
        <v>848.87</v>
      </c>
      <c r="R6">
        <v>75</v>
      </c>
      <c r="S6" t="s">
        <v>21</v>
      </c>
      <c r="T6">
        <f t="shared" ca="1" si="0"/>
        <v>-30.029999999999973</v>
      </c>
    </row>
    <row r="7" spans="1:20" x14ac:dyDescent="0.2">
      <c r="A7" t="e" vm="57">
        <v>#VALUE!</v>
      </c>
      <c r="B7" s="2">
        <v>46031</v>
      </c>
      <c r="C7">
        <v>3821</v>
      </c>
      <c r="D7" s="51" cm="1">
        <f t="array" aca="1" ref="D7" ca="1">_FV(A7,"Price")</f>
        <v>3936.1</v>
      </c>
      <c r="E7">
        <v>1.78</v>
      </c>
      <c r="F7">
        <v>76.09</v>
      </c>
      <c r="G7">
        <v>16.05</v>
      </c>
      <c r="H7">
        <v>3719.35</v>
      </c>
      <c r="I7">
        <v>2.73</v>
      </c>
      <c r="J7">
        <v>1.18</v>
      </c>
      <c r="K7">
        <v>0.18</v>
      </c>
      <c r="L7" t="s">
        <v>20</v>
      </c>
      <c r="M7">
        <v>3763.68</v>
      </c>
      <c r="N7">
        <v>3859.21</v>
      </c>
      <c r="O7">
        <v>3607.77</v>
      </c>
      <c r="P7">
        <v>4012.05</v>
      </c>
      <c r="Q7">
        <v>4203.1000000000004</v>
      </c>
      <c r="R7">
        <v>71</v>
      </c>
      <c r="S7" t="s">
        <v>21</v>
      </c>
      <c r="T7">
        <f t="shared" ca="1" si="0"/>
        <v>-172.42000000000007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100C-272B-D146-96C4-FDA64F1FBF61}">
  <dimension ref="A1:W38"/>
  <sheetViews>
    <sheetView workbookViewId="0">
      <selection activeCell="K3" sqref="K3"/>
    </sheetView>
  </sheetViews>
  <sheetFormatPr baseColWidth="10" defaultColWidth="8.83203125" defaultRowHeight="15" x14ac:dyDescent="0.2"/>
  <cols>
    <col min="1" max="1" width="62.1640625" customWidth="1"/>
    <col min="2" max="2" width="17.33203125" customWidth="1"/>
    <col min="4" max="4" width="10.1640625" bestFit="1" customWidth="1"/>
    <col min="10" max="10" width="14.83203125" customWidth="1"/>
    <col min="12" max="12" width="16.5" customWidth="1"/>
    <col min="20" max="20" width="11.83203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3" x14ac:dyDescent="0.2">
      <c r="A2" t="e" vm="67">
        <v>#VALUE!</v>
      </c>
      <c r="B2" s="2">
        <v>46031</v>
      </c>
      <c r="C2">
        <v>7256.5</v>
      </c>
      <c r="D2" s="51" cm="1">
        <f t="array" aca="1" ref="D2" ca="1">_FV(A2,"Price")</f>
        <v>7235.5</v>
      </c>
      <c r="E2">
        <v>-1.65</v>
      </c>
      <c r="F2">
        <v>47.9</v>
      </c>
      <c r="G2">
        <v>-71.430000000000007</v>
      </c>
      <c r="H2">
        <v>7263.4</v>
      </c>
      <c r="I2">
        <v>-0.09</v>
      </c>
      <c r="J2">
        <v>1.68</v>
      </c>
      <c r="K2">
        <v>0.2</v>
      </c>
      <c r="L2" t="s">
        <v>20</v>
      </c>
      <c r="M2">
        <v>7190.77</v>
      </c>
      <c r="N2">
        <v>7329.06</v>
      </c>
      <c r="O2">
        <v>6966.24</v>
      </c>
      <c r="P2">
        <v>7619.33</v>
      </c>
      <c r="Q2">
        <v>7982.15</v>
      </c>
      <c r="R2">
        <v>55</v>
      </c>
      <c r="S2" t="s">
        <v>30</v>
      </c>
      <c r="U2">
        <f ca="1">M2-D2</f>
        <v>-44.729999999999563</v>
      </c>
      <c r="V2" s="3">
        <f ca="1">U2/M2</f>
        <v>-6.2204743024738048E-3</v>
      </c>
      <c r="W2" s="53" cm="1">
        <f t="array" aca="1" ref="W2" ca="1">_FV(A2,"P/E",TRUE)</f>
        <v>62.54</v>
      </c>
    </row>
    <row r="3" spans="1:23" x14ac:dyDescent="0.2">
      <c r="A3" t="e" vm="31">
        <v>#VALUE!</v>
      </c>
      <c r="B3" s="2">
        <v>46031</v>
      </c>
      <c r="C3">
        <v>1272</v>
      </c>
      <c r="D3" s="51" cm="1">
        <f t="array" aca="1" ref="D3" ca="1">_FV(A3,"Price")</f>
        <v>1294.2</v>
      </c>
      <c r="E3">
        <v>0.46</v>
      </c>
      <c r="F3">
        <v>62.78</v>
      </c>
      <c r="G3">
        <v>2.62</v>
      </c>
      <c r="H3">
        <v>1258.6199999999999</v>
      </c>
      <c r="I3">
        <v>1.06</v>
      </c>
      <c r="J3">
        <v>0.99</v>
      </c>
      <c r="K3">
        <v>0.09</v>
      </c>
      <c r="L3" t="s">
        <v>20</v>
      </c>
      <c r="M3">
        <v>1252.92</v>
      </c>
      <c r="N3">
        <v>1284.72</v>
      </c>
      <c r="O3">
        <v>1220.8599999999999</v>
      </c>
      <c r="P3">
        <v>1335.6</v>
      </c>
      <c r="Q3">
        <v>1399.2</v>
      </c>
      <c r="R3">
        <v>65</v>
      </c>
      <c r="S3" t="s">
        <v>21</v>
      </c>
      <c r="U3">
        <f t="shared" ref="U3:U38" ca="1" si="0">M3-D3</f>
        <v>-41.279999999999973</v>
      </c>
      <c r="V3" s="3">
        <f t="shared" ref="V3:V38" ca="1" si="1">U3/M3</f>
        <v>-3.2947035724547435E-2</v>
      </c>
      <c r="W3" s="53" cm="1">
        <f t="array" aca="1" ref="W3" ca="1">_FV(A3,"P/E",TRUE)</f>
        <v>15.48</v>
      </c>
    </row>
    <row r="4" spans="1:23" x14ac:dyDescent="0.2">
      <c r="A4" t="e" vm="59">
        <v>#VALUE!</v>
      </c>
      <c r="B4" s="2">
        <v>46031</v>
      </c>
      <c r="C4">
        <v>9562.5</v>
      </c>
      <c r="D4" s="51" cm="1">
        <f t="array" aca="1" ref="D4" ca="1">_FV(A4,"Price")</f>
        <v>9489</v>
      </c>
      <c r="E4">
        <v>-0.25</v>
      </c>
      <c r="F4">
        <v>66.790000000000006</v>
      </c>
      <c r="G4">
        <v>44.99</v>
      </c>
      <c r="H4">
        <v>9078.5499999999993</v>
      </c>
      <c r="I4">
        <v>5.33</v>
      </c>
      <c r="J4">
        <v>1.08</v>
      </c>
      <c r="K4">
        <v>7.0000000000000007E-2</v>
      </c>
      <c r="L4" t="s">
        <v>20</v>
      </c>
      <c r="M4">
        <v>9419.06</v>
      </c>
      <c r="N4">
        <v>9658.1200000000008</v>
      </c>
      <c r="O4">
        <v>8806.19</v>
      </c>
      <c r="P4">
        <v>10040.620000000001</v>
      </c>
      <c r="Q4">
        <v>10518.75</v>
      </c>
      <c r="R4">
        <v>85</v>
      </c>
      <c r="S4" t="s">
        <v>21</v>
      </c>
      <c r="U4">
        <f t="shared" ca="1" si="0"/>
        <v>-69.940000000000509</v>
      </c>
      <c r="V4" s="3">
        <f t="shared" ca="1" si="1"/>
        <v>-7.4253694105357133E-3</v>
      </c>
      <c r="W4" s="53" cm="1">
        <f t="array" aca="1" ref="W4" ca="1">_FV(A4,"P/E",TRUE)</f>
        <v>32.1</v>
      </c>
    </row>
    <row r="5" spans="1:23" x14ac:dyDescent="0.2">
      <c r="A5" t="e" vm="28">
        <v>#VALUE!</v>
      </c>
      <c r="B5" s="2">
        <v>46031</v>
      </c>
      <c r="C5">
        <v>354.15</v>
      </c>
      <c r="D5" s="51" cm="1">
        <f t="array" aca="1" ref="D5" ca="1">_FV(A5,"Price")</f>
        <v>363.2</v>
      </c>
      <c r="E5">
        <v>-0.21</v>
      </c>
      <c r="F5">
        <v>55.98</v>
      </c>
      <c r="G5">
        <v>0.28000000000000003</v>
      </c>
      <c r="H5">
        <v>365.48</v>
      </c>
      <c r="I5">
        <v>-3.1</v>
      </c>
      <c r="J5">
        <v>0.95</v>
      </c>
      <c r="K5">
        <v>0.08</v>
      </c>
      <c r="L5" t="s">
        <v>20</v>
      </c>
      <c r="M5">
        <v>361.83</v>
      </c>
      <c r="N5">
        <v>357.69</v>
      </c>
      <c r="O5">
        <v>339.98</v>
      </c>
      <c r="P5">
        <v>371.86</v>
      </c>
      <c r="Q5">
        <v>389.56</v>
      </c>
      <c r="R5">
        <v>38</v>
      </c>
      <c r="S5" t="s">
        <v>21</v>
      </c>
      <c r="U5">
        <f t="shared" ca="1" si="0"/>
        <v>-1.3700000000000045</v>
      </c>
      <c r="V5" s="3">
        <f t="shared" ca="1" si="1"/>
        <v>-3.7863084874112281E-3</v>
      </c>
      <c r="W5" s="53" cm="1">
        <f t="array" aca="1" ref="W5" ca="1">_FV(A5,"P/E",TRUE)</f>
        <v>7.18</v>
      </c>
    </row>
    <row r="6" spans="1:23" x14ac:dyDescent="0.2">
      <c r="A6" t="e" vm="29">
        <v>#VALUE!</v>
      </c>
      <c r="B6" s="2">
        <v>46031</v>
      </c>
      <c r="C6">
        <v>418.35</v>
      </c>
      <c r="D6" s="51" cm="1">
        <f t="array" aca="1" ref="D6" ca="1">_FV(A6,"Price")</f>
        <v>431</v>
      </c>
      <c r="E6">
        <v>0.32</v>
      </c>
      <c r="F6">
        <v>66.52</v>
      </c>
      <c r="G6">
        <v>4.62</v>
      </c>
      <c r="H6">
        <v>391.46</v>
      </c>
      <c r="I6">
        <v>6.87</v>
      </c>
      <c r="J6">
        <v>1.61</v>
      </c>
      <c r="K6">
        <v>7.0000000000000007E-2</v>
      </c>
      <c r="L6" t="s">
        <v>20</v>
      </c>
      <c r="M6">
        <v>412.07</v>
      </c>
      <c r="N6">
        <v>422.53</v>
      </c>
      <c r="O6">
        <v>379.72</v>
      </c>
      <c r="P6">
        <v>439.27</v>
      </c>
      <c r="Q6">
        <v>460.19</v>
      </c>
      <c r="R6">
        <v>70</v>
      </c>
      <c r="S6" t="s">
        <v>21</v>
      </c>
      <c r="U6">
        <f t="shared" ca="1" si="0"/>
        <v>-18.930000000000007</v>
      </c>
      <c r="V6" s="3">
        <f t="shared" ca="1" si="1"/>
        <v>-4.5938796806367865E-2</v>
      </c>
      <c r="W6" s="53" cm="1">
        <f t="array" aca="1" ref="W6" ca="1">_FV(A6,"P/E",TRUE)</f>
        <v>8.5299999999999994</v>
      </c>
    </row>
    <row r="7" spans="1:23" x14ac:dyDescent="0.2">
      <c r="A7" t="e" vm="68">
        <v>#VALUE!</v>
      </c>
      <c r="B7" s="2">
        <v>46031</v>
      </c>
      <c r="C7">
        <v>6616.5</v>
      </c>
      <c r="D7" s="51" cm="1">
        <f t="array" aca="1" ref="D7" ca="1">_FV(A7,"Price")</f>
        <v>6236</v>
      </c>
      <c r="E7">
        <v>-3.27</v>
      </c>
      <c r="F7">
        <v>57.19</v>
      </c>
      <c r="G7">
        <v>-4.0599999999999996</v>
      </c>
      <c r="H7">
        <v>6483.3</v>
      </c>
      <c r="I7">
        <v>2.0499999999999998</v>
      </c>
      <c r="J7">
        <v>1.0900000000000001</v>
      </c>
      <c r="K7">
        <v>0.21</v>
      </c>
      <c r="L7" t="s">
        <v>20</v>
      </c>
      <c r="M7">
        <v>6517.25</v>
      </c>
      <c r="N7">
        <v>6682.66</v>
      </c>
      <c r="O7">
        <v>6288.8</v>
      </c>
      <c r="P7">
        <v>6947.33</v>
      </c>
      <c r="Q7">
        <v>7278.15</v>
      </c>
      <c r="R7">
        <v>48</v>
      </c>
      <c r="S7" t="s">
        <v>30</v>
      </c>
      <c r="U7">
        <f t="shared" ca="1" si="0"/>
        <v>281.25</v>
      </c>
      <c r="V7" s="3">
        <f t="shared" ca="1" si="1"/>
        <v>4.3154704821819018E-2</v>
      </c>
      <c r="W7" s="53" cm="1">
        <f t="array" aca="1" ref="W7" ca="1">_FV(A7,"P/E",TRUE)</f>
        <v>67.849999999999994</v>
      </c>
    </row>
    <row r="8" spans="1:23" x14ac:dyDescent="0.2">
      <c r="A8" t="e" vm="69">
        <v>#VALUE!</v>
      </c>
      <c r="B8" s="2">
        <v>46031</v>
      </c>
      <c r="C8">
        <v>7507</v>
      </c>
      <c r="D8" s="51" cm="1">
        <f t="array" aca="1" ref="D8" ca="1">_FV(A8,"Price")</f>
        <v>7315</v>
      </c>
      <c r="E8">
        <v>-0.96</v>
      </c>
      <c r="F8">
        <v>73.09</v>
      </c>
      <c r="G8">
        <v>-3.65</v>
      </c>
      <c r="H8">
        <v>7158.85</v>
      </c>
      <c r="I8">
        <v>4.8600000000000003</v>
      </c>
      <c r="J8">
        <v>0.89</v>
      </c>
      <c r="K8">
        <v>7.0000000000000007E-2</v>
      </c>
      <c r="L8" t="s">
        <v>20</v>
      </c>
      <c r="M8">
        <v>7394.4</v>
      </c>
      <c r="N8">
        <v>7582.07</v>
      </c>
      <c r="O8">
        <v>6944.08</v>
      </c>
      <c r="P8">
        <v>7882.35</v>
      </c>
      <c r="Q8">
        <v>8257.7000000000007</v>
      </c>
      <c r="R8">
        <v>38</v>
      </c>
      <c r="S8" t="s">
        <v>30</v>
      </c>
      <c r="U8">
        <f t="shared" ca="1" si="0"/>
        <v>79.399999999999636</v>
      </c>
      <c r="V8" s="3">
        <f t="shared" ca="1" si="1"/>
        <v>1.0737855674564487E-2</v>
      </c>
      <c r="W8" s="53" cm="1">
        <f t="array" aca="1" ref="W8" ca="1">_FV(A8,"P/E",TRUE)</f>
        <v>39.5</v>
      </c>
    </row>
    <row r="9" spans="1:23" x14ac:dyDescent="0.2">
      <c r="A9" t="e" vm="38">
        <v>#VALUE!</v>
      </c>
      <c r="B9" s="2">
        <v>46031</v>
      </c>
      <c r="C9">
        <v>900.95</v>
      </c>
      <c r="D9" s="51" cm="1">
        <f t="array" aca="1" ref="D9" ca="1">_FV(A9,"Price")</f>
        <v>934.65</v>
      </c>
      <c r="E9">
        <v>7.0000000000000007E-2</v>
      </c>
      <c r="F9">
        <v>68.94</v>
      </c>
      <c r="G9">
        <v>8.1300000000000008</v>
      </c>
      <c r="H9">
        <v>840.71</v>
      </c>
      <c r="I9">
        <v>7.17</v>
      </c>
      <c r="J9">
        <v>1.3</v>
      </c>
      <c r="K9">
        <v>0.11</v>
      </c>
      <c r="L9" t="s">
        <v>20</v>
      </c>
      <c r="M9">
        <v>887.44</v>
      </c>
      <c r="N9">
        <v>909.96</v>
      </c>
      <c r="O9">
        <v>815.48</v>
      </c>
      <c r="P9">
        <v>946</v>
      </c>
      <c r="Q9">
        <v>991.05</v>
      </c>
      <c r="R9">
        <v>73</v>
      </c>
      <c r="S9" t="s">
        <v>21</v>
      </c>
      <c r="U9">
        <f t="shared" ca="1" si="0"/>
        <v>-47.209999999999923</v>
      </c>
      <c r="V9" s="3">
        <f t="shared" ca="1" si="1"/>
        <v>-5.3197962679166953E-2</v>
      </c>
      <c r="W9" s="53" cm="1">
        <f t="array" aca="1" ref="W9" ca="1">_FV(A9,"P/E",TRUE)</f>
        <v>11.94</v>
      </c>
    </row>
    <row r="10" spans="1:23" x14ac:dyDescent="0.2">
      <c r="A10" t="e" vm="2">
        <v>#VALUE!</v>
      </c>
      <c r="B10" s="2">
        <v>46031</v>
      </c>
      <c r="C10">
        <v>2372.6</v>
      </c>
      <c r="D10" s="51" cm="1">
        <f t="array" aca="1" ref="D10" ca="1">_FV(A10,"Price")</f>
        <v>2360.4</v>
      </c>
      <c r="E10">
        <v>0.75</v>
      </c>
      <c r="F10">
        <v>47.21</v>
      </c>
      <c r="G10">
        <v>-19.73</v>
      </c>
      <c r="H10">
        <v>2362.7199999999998</v>
      </c>
      <c r="I10">
        <v>0.42</v>
      </c>
      <c r="J10">
        <v>0.85</v>
      </c>
      <c r="K10">
        <v>0.13</v>
      </c>
      <c r="L10" t="s">
        <v>20</v>
      </c>
      <c r="M10">
        <v>2339.09</v>
      </c>
      <c r="N10">
        <v>2396.33</v>
      </c>
      <c r="O10">
        <v>2277.6999999999998</v>
      </c>
      <c r="P10">
        <v>2491.23</v>
      </c>
      <c r="Q10">
        <v>2609.86</v>
      </c>
      <c r="R10">
        <v>35</v>
      </c>
      <c r="S10" t="s">
        <v>30</v>
      </c>
      <c r="U10">
        <f t="shared" ca="1" si="0"/>
        <v>-21.309999999999945</v>
      </c>
      <c r="V10" s="3">
        <f t="shared" ca="1" si="1"/>
        <v>-9.1103805326002603E-3</v>
      </c>
      <c r="W10" s="53" cm="1">
        <f t="array" aca="1" ref="W10" ca="1">_FV(A10,"P/E",TRUE)</f>
        <v>50.79</v>
      </c>
    </row>
    <row r="11" spans="1:23" x14ac:dyDescent="0.2">
      <c r="A11" t="e" vm="3">
        <v>#VALUE!</v>
      </c>
      <c r="B11" s="2">
        <v>46031</v>
      </c>
      <c r="C11">
        <v>1404.3</v>
      </c>
      <c r="D11" s="51" cm="1">
        <f t="array" aca="1" ref="D11" ca="1">_FV(A11,"Price")</f>
        <v>1410.8</v>
      </c>
      <c r="E11">
        <v>-0.62</v>
      </c>
      <c r="F11">
        <v>54.67</v>
      </c>
      <c r="G11">
        <v>-1.72</v>
      </c>
      <c r="H11">
        <v>1369.7</v>
      </c>
      <c r="I11">
        <v>2.5299999999999998</v>
      </c>
      <c r="J11">
        <v>1.29</v>
      </c>
      <c r="K11">
        <v>0.14000000000000001</v>
      </c>
      <c r="L11" t="s">
        <v>20</v>
      </c>
      <c r="M11">
        <v>1383.24</v>
      </c>
      <c r="N11">
        <v>1418.34</v>
      </c>
      <c r="O11">
        <v>1328.61</v>
      </c>
      <c r="P11">
        <v>1474.52</v>
      </c>
      <c r="Q11">
        <v>1544.73</v>
      </c>
      <c r="R11">
        <v>40</v>
      </c>
      <c r="S11" t="s">
        <v>30</v>
      </c>
      <c r="U11">
        <f t="shared" ca="1" si="0"/>
        <v>-27.559999999999945</v>
      </c>
      <c r="V11" s="3">
        <f t="shared" ca="1" si="1"/>
        <v>-1.9924235852057447E-2</v>
      </c>
      <c r="W11" s="53" cm="1">
        <f t="array" aca="1" ref="W11" ca="1">_FV(A11,"P/E",TRUE)</f>
        <v>18.89</v>
      </c>
    </row>
    <row r="12" spans="1:23" x14ac:dyDescent="0.2">
      <c r="A12" t="e" vm="41">
        <v>#VALUE!</v>
      </c>
      <c r="B12" s="2">
        <v>46031</v>
      </c>
      <c r="C12">
        <v>882.25</v>
      </c>
      <c r="D12" s="51" cm="1">
        <f t="array" aca="1" ref="D12" ca="1">_FV(A12,"Price")</f>
        <v>953.85</v>
      </c>
      <c r="E12">
        <v>1.07</v>
      </c>
      <c r="F12">
        <v>59.34</v>
      </c>
      <c r="G12">
        <v>14.53</v>
      </c>
      <c r="H12">
        <v>854.61</v>
      </c>
      <c r="I12">
        <v>3.23</v>
      </c>
      <c r="J12">
        <v>1.06</v>
      </c>
      <c r="K12">
        <v>0.15</v>
      </c>
      <c r="L12" t="s">
        <v>20</v>
      </c>
      <c r="M12">
        <v>869.02</v>
      </c>
      <c r="N12">
        <v>891.07</v>
      </c>
      <c r="O12">
        <v>828.97</v>
      </c>
      <c r="P12">
        <v>926.36</v>
      </c>
      <c r="Q12">
        <v>970.48</v>
      </c>
      <c r="R12">
        <v>71</v>
      </c>
      <c r="S12" t="s">
        <v>21</v>
      </c>
      <c r="U12">
        <f t="shared" ca="1" si="0"/>
        <v>-84.830000000000041</v>
      </c>
      <c r="V12" s="3">
        <f t="shared" ca="1" si="1"/>
        <v>-9.7615705047064558E-2</v>
      </c>
      <c r="W12" s="53" cm="1">
        <f t="array" aca="1" ref="W12" ca="1">_FV(A12,"P/E",TRUE)</f>
        <v>0</v>
      </c>
    </row>
    <row r="13" spans="1:23" x14ac:dyDescent="0.2">
      <c r="A13" t="e" vm="54">
        <v>#VALUE!</v>
      </c>
      <c r="B13" s="2">
        <v>46031</v>
      </c>
      <c r="C13">
        <v>1614.1</v>
      </c>
      <c r="D13" s="51" cm="1">
        <f t="array" aca="1" ref="D13" ca="1">_FV(A13,"Price")</f>
        <v>1689.8</v>
      </c>
      <c r="E13">
        <v>-0.72</v>
      </c>
      <c r="F13">
        <v>56.99</v>
      </c>
      <c r="G13">
        <v>19.86</v>
      </c>
      <c r="H13">
        <v>1584.84</v>
      </c>
      <c r="I13">
        <v>1.85</v>
      </c>
      <c r="J13">
        <v>0.68</v>
      </c>
      <c r="K13">
        <v>0.23</v>
      </c>
      <c r="L13" t="s">
        <v>20</v>
      </c>
      <c r="M13">
        <v>1589.89</v>
      </c>
      <c r="N13">
        <v>1630.24</v>
      </c>
      <c r="O13">
        <v>1537.29</v>
      </c>
      <c r="P13">
        <v>1694.8</v>
      </c>
      <c r="Q13">
        <v>1775.51</v>
      </c>
      <c r="R13">
        <v>66</v>
      </c>
      <c r="S13" t="s">
        <v>21</v>
      </c>
      <c r="U13">
        <f t="shared" ca="1" si="0"/>
        <v>-99.909999999999854</v>
      </c>
      <c r="V13" s="3">
        <f t="shared" ca="1" si="1"/>
        <v>-6.2840825465912645E-2</v>
      </c>
      <c r="W13" s="53" cm="1">
        <f t="array" aca="1" ref="W13" ca="1">_FV(A13,"P/E",TRUE)</f>
        <v>23.66</v>
      </c>
    </row>
    <row r="14" spans="1:23" x14ac:dyDescent="0.2">
      <c r="A14" t="e" vm="33">
        <v>#VALUE!</v>
      </c>
      <c r="B14" s="2">
        <v>46031</v>
      </c>
      <c r="C14">
        <v>1158.8</v>
      </c>
      <c r="D14" s="51" cm="1">
        <f t="array" aca="1" ref="D14" ca="1">_FV(A14,"Price")</f>
        <v>1187.3</v>
      </c>
      <c r="E14">
        <v>-0.41</v>
      </c>
      <c r="F14">
        <v>56.77</v>
      </c>
      <c r="G14">
        <v>-5.69</v>
      </c>
      <c r="H14">
        <v>1144.1300000000001</v>
      </c>
      <c r="I14">
        <v>1.28</v>
      </c>
      <c r="J14">
        <v>0.83</v>
      </c>
      <c r="K14">
        <v>7.0000000000000007E-2</v>
      </c>
      <c r="L14" t="s">
        <v>20</v>
      </c>
      <c r="M14">
        <v>1141.42</v>
      </c>
      <c r="N14">
        <v>1170.3900000000001</v>
      </c>
      <c r="O14">
        <v>1109.81</v>
      </c>
      <c r="P14">
        <v>1216.74</v>
      </c>
      <c r="Q14">
        <v>1274.68</v>
      </c>
      <c r="R14">
        <v>43</v>
      </c>
      <c r="S14" t="s">
        <v>30</v>
      </c>
      <c r="U14">
        <f t="shared" ca="1" si="0"/>
        <v>-45.879999999999882</v>
      </c>
      <c r="V14" s="3">
        <f t="shared" ca="1" si="1"/>
        <v>-4.0195545898967844E-2</v>
      </c>
      <c r="W14" s="53" cm="1">
        <f t="array" aca="1" ref="W14" ca="1">_FV(A14,"P/E",TRUE)</f>
        <v>47.85</v>
      </c>
    </row>
    <row r="15" spans="1:23" x14ac:dyDescent="0.2">
      <c r="A15" t="e" vm="34">
        <v>#VALUE!</v>
      </c>
      <c r="B15" s="2">
        <v>46031</v>
      </c>
      <c r="C15">
        <v>336</v>
      </c>
      <c r="D15" s="51" cm="1">
        <f t="array" aca="1" ref="D15" ca="1">_FV(A15,"Price")</f>
        <v>346.35</v>
      </c>
      <c r="E15">
        <v>-0.1</v>
      </c>
      <c r="F15">
        <v>52.47</v>
      </c>
      <c r="G15">
        <v>1.22</v>
      </c>
      <c r="H15">
        <v>328.81</v>
      </c>
      <c r="I15">
        <v>2.19</v>
      </c>
      <c r="J15">
        <v>1.29</v>
      </c>
      <c r="K15">
        <v>0.04</v>
      </c>
      <c r="L15" t="s">
        <v>20</v>
      </c>
      <c r="M15">
        <v>330.96</v>
      </c>
      <c r="N15">
        <v>339.36</v>
      </c>
      <c r="O15">
        <v>318.95</v>
      </c>
      <c r="P15">
        <v>352.8</v>
      </c>
      <c r="Q15">
        <v>369.6</v>
      </c>
      <c r="R15">
        <v>50</v>
      </c>
      <c r="S15" t="s">
        <v>30</v>
      </c>
      <c r="U15">
        <f t="shared" ca="1" si="0"/>
        <v>-15.390000000000043</v>
      </c>
      <c r="V15" s="3">
        <f t="shared" ca="1" si="1"/>
        <v>-4.6501087744742702E-2</v>
      </c>
      <c r="W15" s="53" cm="1">
        <f t="array" aca="1" ref="W15" ca="1">_FV(A15,"P/E",TRUE)</f>
        <v>14.25</v>
      </c>
    </row>
    <row r="16" spans="1:23" x14ac:dyDescent="0.2">
      <c r="A16" t="e" vm="52">
        <v>#VALUE!</v>
      </c>
      <c r="B16" s="2">
        <v>46031</v>
      </c>
      <c r="C16">
        <v>2070</v>
      </c>
      <c r="D16" s="51" cm="1">
        <f t="array" aca="1" ref="D16" ca="1">_FV(A16,"Price")</f>
        <v>2081</v>
      </c>
      <c r="E16">
        <v>0.77</v>
      </c>
      <c r="F16">
        <v>70.22</v>
      </c>
      <c r="G16">
        <v>6.72</v>
      </c>
      <c r="H16">
        <v>2022.28</v>
      </c>
      <c r="I16">
        <v>2.36</v>
      </c>
      <c r="J16">
        <v>0.91</v>
      </c>
      <c r="K16">
        <v>0.12</v>
      </c>
      <c r="L16" t="s">
        <v>20</v>
      </c>
      <c r="M16">
        <v>2038.95</v>
      </c>
      <c r="N16">
        <v>2090.6999999999998</v>
      </c>
      <c r="O16">
        <v>1961.61</v>
      </c>
      <c r="P16">
        <v>2173.5</v>
      </c>
      <c r="Q16">
        <v>2277</v>
      </c>
      <c r="R16">
        <v>61</v>
      </c>
      <c r="S16" t="s">
        <v>21</v>
      </c>
      <c r="U16">
        <f t="shared" ca="1" si="0"/>
        <v>-42.049999999999955</v>
      </c>
      <c r="V16" s="3">
        <f t="shared" ca="1" si="1"/>
        <v>-2.0623360062777388E-2</v>
      </c>
      <c r="W16" s="53" cm="1">
        <f t="array" aca="1" ref="W16" ca="1">_FV(A16,"P/E",TRUE)</f>
        <v>84.52</v>
      </c>
    </row>
    <row r="17" spans="1:23" x14ac:dyDescent="0.2">
      <c r="A17" t="e" vm="17">
        <v>#VALUE!</v>
      </c>
      <c r="B17" s="2">
        <v>46031</v>
      </c>
      <c r="C17">
        <v>1000.5</v>
      </c>
      <c r="D17" s="51" cm="1">
        <f t="array" aca="1" ref="D17" ca="1">_FV(A17,"Price")</f>
        <v>1042.3</v>
      </c>
      <c r="E17">
        <v>-0.03</v>
      </c>
      <c r="F17">
        <v>75.23</v>
      </c>
      <c r="G17">
        <v>3.68</v>
      </c>
      <c r="H17">
        <v>975.6</v>
      </c>
      <c r="I17">
        <v>2.5499999999999998</v>
      </c>
      <c r="J17">
        <v>1</v>
      </c>
      <c r="K17">
        <v>0.13</v>
      </c>
      <c r="L17" t="s">
        <v>20</v>
      </c>
      <c r="M17">
        <v>985.49</v>
      </c>
      <c r="N17">
        <v>1010.5</v>
      </c>
      <c r="O17">
        <v>946.33</v>
      </c>
      <c r="P17">
        <v>1050.53</v>
      </c>
      <c r="Q17">
        <v>1100.55</v>
      </c>
      <c r="R17">
        <v>63</v>
      </c>
      <c r="S17" t="s">
        <v>21</v>
      </c>
      <c r="U17">
        <f t="shared" ca="1" si="0"/>
        <v>-56.809999999999945</v>
      </c>
      <c r="V17" s="3">
        <f t="shared" ca="1" si="1"/>
        <v>-5.7646449989345344E-2</v>
      </c>
      <c r="W17" s="53" cm="1">
        <f t="array" aca="1" ref="W17" ca="1">_FV(A17,"P/E",TRUE)</f>
        <v>11.47</v>
      </c>
    </row>
    <row r="18" spans="1:23" x14ac:dyDescent="0.2">
      <c r="A18" t="e" vm="35">
        <v>#VALUE!</v>
      </c>
      <c r="B18" s="2">
        <v>46031</v>
      </c>
      <c r="C18">
        <v>178.4</v>
      </c>
      <c r="D18" s="51" cm="1">
        <f t="array" aca="1" ref="D18" ca="1">_FV(A18,"Price")</f>
        <v>188.21</v>
      </c>
      <c r="E18">
        <v>0.44</v>
      </c>
      <c r="F18">
        <v>59.09</v>
      </c>
      <c r="G18">
        <v>-0.26</v>
      </c>
      <c r="H18">
        <v>172.97</v>
      </c>
      <c r="I18">
        <v>3.14</v>
      </c>
      <c r="J18">
        <v>1.21</v>
      </c>
      <c r="K18">
        <v>0.08</v>
      </c>
      <c r="L18" t="s">
        <v>20</v>
      </c>
      <c r="M18">
        <v>175.72</v>
      </c>
      <c r="N18">
        <v>180.18</v>
      </c>
      <c r="O18">
        <v>167.78</v>
      </c>
      <c r="P18">
        <v>187.32</v>
      </c>
      <c r="Q18">
        <v>196.24</v>
      </c>
      <c r="R18">
        <v>48</v>
      </c>
      <c r="S18" t="s">
        <v>30</v>
      </c>
      <c r="U18">
        <f t="shared" ca="1" si="0"/>
        <v>-12.490000000000009</v>
      </c>
      <c r="V18" s="3">
        <f t="shared" ca="1" si="1"/>
        <v>-7.1078989301160994E-2</v>
      </c>
      <c r="W18" s="53" cm="1">
        <f t="array" aca="1" ref="W18" ca="1">_FV(A18,"P/E",TRUE)</f>
        <v>34.65</v>
      </c>
    </row>
    <row r="19" spans="1:23" x14ac:dyDescent="0.2">
      <c r="A19" t="e" vm="55">
        <v>#VALUE!</v>
      </c>
      <c r="B19" s="2">
        <v>46031</v>
      </c>
      <c r="C19">
        <v>1582.2</v>
      </c>
      <c r="D19" s="51" cm="1">
        <f t="array" aca="1" ref="D19" ca="1">_FV(A19,"Price")</f>
        <v>1670.5</v>
      </c>
      <c r="E19">
        <v>-0.51</v>
      </c>
      <c r="F19">
        <v>57.98</v>
      </c>
      <c r="G19">
        <v>18.82</v>
      </c>
      <c r="H19">
        <v>1537.29</v>
      </c>
      <c r="I19">
        <v>2.92</v>
      </c>
      <c r="J19">
        <v>0.72</v>
      </c>
      <c r="K19">
        <v>7.0000000000000007E-2</v>
      </c>
      <c r="L19" t="s">
        <v>20</v>
      </c>
      <c r="M19">
        <v>1558.47</v>
      </c>
      <c r="N19">
        <v>1598.02</v>
      </c>
      <c r="O19">
        <v>1491.17</v>
      </c>
      <c r="P19">
        <v>1661.31</v>
      </c>
      <c r="Q19">
        <v>1740.42</v>
      </c>
      <c r="R19">
        <v>61</v>
      </c>
      <c r="S19" t="s">
        <v>21</v>
      </c>
      <c r="U19">
        <f t="shared" ca="1" si="0"/>
        <v>-112.02999999999997</v>
      </c>
      <c r="V19" s="3">
        <f t="shared" ca="1" si="1"/>
        <v>-7.1884604772629548E-2</v>
      </c>
      <c r="W19" s="53" cm="1">
        <f t="array" aca="1" ref="W19" ca="1">_FV(A19,"P/E",TRUE)</f>
        <v>31.38</v>
      </c>
    </row>
    <row r="20" spans="1:23" x14ac:dyDescent="0.2">
      <c r="A20" t="e" vm="60">
        <v>#VALUE!</v>
      </c>
      <c r="B20" s="2">
        <v>46031</v>
      </c>
      <c r="C20">
        <v>4201.8</v>
      </c>
      <c r="D20" s="51" cm="1">
        <f t="array" aca="1" ref="D20" ca="1">_FV(A20,"Price")</f>
        <v>4196.8999999999996</v>
      </c>
      <c r="E20">
        <v>-0.19</v>
      </c>
      <c r="F20">
        <v>72.540000000000006</v>
      </c>
      <c r="G20">
        <v>37</v>
      </c>
      <c r="H20">
        <v>3927.95</v>
      </c>
      <c r="I20">
        <v>6.97</v>
      </c>
      <c r="J20">
        <v>1.5</v>
      </c>
      <c r="K20">
        <v>0.04</v>
      </c>
      <c r="L20" t="s">
        <v>20</v>
      </c>
      <c r="M20">
        <v>4138.7700000000004</v>
      </c>
      <c r="N20">
        <v>4243.82</v>
      </c>
      <c r="O20">
        <v>3810.11</v>
      </c>
      <c r="P20">
        <v>4411.8900000000003</v>
      </c>
      <c r="Q20">
        <v>4621.9799999999996</v>
      </c>
      <c r="R20">
        <v>78</v>
      </c>
      <c r="S20" t="s">
        <v>21</v>
      </c>
      <c r="U20">
        <f t="shared" ca="1" si="0"/>
        <v>-58.1299999999992</v>
      </c>
      <c r="V20" s="3">
        <f t="shared" ca="1" si="1"/>
        <v>-1.4045235661802708E-2</v>
      </c>
      <c r="W20" s="53" cm="1">
        <f t="array" aca="1" ref="W20" ca="1">_FV(A20,"P/E",TRUE)</f>
        <v>90.69</v>
      </c>
    </row>
    <row r="21" spans="1:23" x14ac:dyDescent="0.2">
      <c r="A21" t="e" vm="5">
        <v>#VALUE!</v>
      </c>
      <c r="B21" s="2">
        <v>46031</v>
      </c>
      <c r="C21">
        <v>11937</v>
      </c>
      <c r="D21" s="51" cm="1">
        <f t="array" aca="1" ref="D21" ca="1">_FV(A21,"Price")</f>
        <v>12378</v>
      </c>
      <c r="E21">
        <v>-0.41</v>
      </c>
      <c r="F21">
        <v>51.31</v>
      </c>
      <c r="G21">
        <v>-33.950000000000003</v>
      </c>
      <c r="H21">
        <v>11749.8</v>
      </c>
      <c r="I21">
        <v>1.59</v>
      </c>
      <c r="J21">
        <v>1.22</v>
      </c>
      <c r="K21">
        <v>0.09</v>
      </c>
      <c r="L21" t="s">
        <v>20</v>
      </c>
      <c r="M21">
        <v>11757.94</v>
      </c>
      <c r="N21">
        <v>12056.37</v>
      </c>
      <c r="O21">
        <v>11397.31</v>
      </c>
      <c r="P21">
        <v>12533.85</v>
      </c>
      <c r="Q21">
        <v>13130.7</v>
      </c>
      <c r="R21">
        <v>45</v>
      </c>
      <c r="S21" t="s">
        <v>30</v>
      </c>
      <c r="U21">
        <f t="shared" ca="1" si="0"/>
        <v>-620.05999999999949</v>
      </c>
      <c r="V21" s="3">
        <f t="shared" ca="1" si="1"/>
        <v>-5.2735428144725989E-2</v>
      </c>
      <c r="W21" s="53" cm="1">
        <f t="array" aca="1" ref="W21" ca="1">_FV(A21,"P/E",TRUE)</f>
        <v>52.3</v>
      </c>
    </row>
    <row r="22" spans="1:23" x14ac:dyDescent="0.2">
      <c r="A22" t="e" vm="15">
        <v>#VALUE!</v>
      </c>
      <c r="B22" s="2">
        <v>46031</v>
      </c>
      <c r="C22">
        <v>261.95</v>
      </c>
      <c r="D22" s="51" cm="1">
        <f t="array" aca="1" ref="D22" ca="1">_FV(A22,"Price")</f>
        <v>267.45</v>
      </c>
      <c r="E22">
        <v>0.55000000000000004</v>
      </c>
      <c r="F22">
        <v>55.98</v>
      </c>
      <c r="G22">
        <v>2.9</v>
      </c>
      <c r="H22">
        <v>255.71</v>
      </c>
      <c r="I22">
        <v>2.44</v>
      </c>
      <c r="J22">
        <v>0.88</v>
      </c>
      <c r="K22">
        <v>0.12</v>
      </c>
      <c r="L22" t="s">
        <v>20</v>
      </c>
      <c r="M22">
        <v>258.02</v>
      </c>
      <c r="N22">
        <v>264.57</v>
      </c>
      <c r="O22">
        <v>248.04</v>
      </c>
      <c r="P22">
        <v>275.05</v>
      </c>
      <c r="Q22">
        <v>288.14999999999998</v>
      </c>
      <c r="R22">
        <v>53</v>
      </c>
      <c r="S22" t="s">
        <v>21</v>
      </c>
      <c r="U22">
        <f t="shared" ca="1" si="0"/>
        <v>-9.4300000000000068</v>
      </c>
      <c r="V22" s="3">
        <f t="shared" ca="1" si="1"/>
        <v>-3.65475544531432E-2</v>
      </c>
      <c r="W22" s="53" cm="1">
        <f t="array" aca="1" ref="W22" ca="1">_FV(A22,"P/E",TRUE)</f>
        <v>20.170000000000002</v>
      </c>
    </row>
    <row r="23" spans="1:23" x14ac:dyDescent="0.2">
      <c r="A23" t="e" vm="30">
        <v>#VALUE!</v>
      </c>
      <c r="B23" s="2">
        <v>46031</v>
      </c>
      <c r="C23">
        <v>300.64999999999998</v>
      </c>
      <c r="D23" s="51" cm="1">
        <f t="array" aca="1" ref="D23" ca="1">_FV(A23,"Price")</f>
        <v>308.25</v>
      </c>
      <c r="E23">
        <v>-0.25</v>
      </c>
      <c r="F23">
        <v>67.739999999999995</v>
      </c>
      <c r="G23">
        <v>1.65</v>
      </c>
      <c r="H23">
        <v>291.27</v>
      </c>
      <c r="I23">
        <v>3.22</v>
      </c>
      <c r="J23">
        <v>1.1599999999999999</v>
      </c>
      <c r="K23">
        <v>0.09</v>
      </c>
      <c r="L23" t="s">
        <v>20</v>
      </c>
      <c r="M23">
        <v>296.14</v>
      </c>
      <c r="N23">
        <v>303.66000000000003</v>
      </c>
      <c r="O23">
        <v>282.54000000000002</v>
      </c>
      <c r="P23">
        <v>315.68</v>
      </c>
      <c r="Q23">
        <v>330.71</v>
      </c>
      <c r="R23">
        <v>70</v>
      </c>
      <c r="S23" t="s">
        <v>21</v>
      </c>
      <c r="U23">
        <f t="shared" ca="1" si="0"/>
        <v>-12.110000000000014</v>
      </c>
      <c r="V23" s="3">
        <f t="shared" ca="1" si="1"/>
        <v>-4.089282096305806E-2</v>
      </c>
      <c r="W23" s="53" cm="1">
        <f t="array" aca="1" ref="W23" ca="1">_FV(A23,"P/E",TRUE)</f>
        <v>8.27</v>
      </c>
    </row>
    <row r="24" spans="1:23" x14ac:dyDescent="0.2">
      <c r="A24" t="e" vm="21">
        <v>#VALUE!</v>
      </c>
      <c r="B24" s="2">
        <v>46031</v>
      </c>
      <c r="C24">
        <v>37995</v>
      </c>
      <c r="D24" s="51" cm="1">
        <f t="array" aca="1" ref="D24" ca="1">_FV(A24,"Price")</f>
        <v>36835</v>
      </c>
      <c r="E24">
        <v>-0.95</v>
      </c>
      <c r="F24">
        <v>55.42</v>
      </c>
      <c r="G24">
        <v>-226.67</v>
      </c>
      <c r="H24">
        <v>36922</v>
      </c>
      <c r="I24">
        <v>2.91</v>
      </c>
      <c r="J24">
        <v>1.49</v>
      </c>
      <c r="K24">
        <v>7.0000000000000007E-2</v>
      </c>
      <c r="L24" t="s">
        <v>20</v>
      </c>
      <c r="M24">
        <v>37425.07</v>
      </c>
      <c r="N24">
        <v>38374.949999999997</v>
      </c>
      <c r="O24">
        <v>35814.339999999997</v>
      </c>
      <c r="P24">
        <v>39894.75</v>
      </c>
      <c r="Q24">
        <v>41794.5</v>
      </c>
      <c r="R24">
        <v>53</v>
      </c>
      <c r="S24" t="s">
        <v>30</v>
      </c>
      <c r="U24">
        <f t="shared" ca="1" si="0"/>
        <v>590.06999999999971</v>
      </c>
      <c r="V24" s="3">
        <f t="shared" ca="1" si="1"/>
        <v>1.5766703976772781E-2</v>
      </c>
      <c r="W24" s="53" cm="1">
        <f t="array" aca="1" ref="W24" ca="1">_FV(A24,"P/E",TRUE)</f>
        <v>41.18</v>
      </c>
    </row>
    <row r="25" spans="1:23" x14ac:dyDescent="0.2">
      <c r="A25" t="e" vm="46">
        <v>#VALUE!</v>
      </c>
      <c r="B25" s="2">
        <v>46031</v>
      </c>
      <c r="C25">
        <v>150.54</v>
      </c>
      <c r="D25" s="51" cm="1">
        <f t="array" aca="1" ref="D25" ca="1">_FV(A25,"Price")</f>
        <v>157.13</v>
      </c>
      <c r="E25">
        <v>-0.89</v>
      </c>
      <c r="F25">
        <v>70.739999999999995</v>
      </c>
      <c r="G25">
        <v>0.82</v>
      </c>
      <c r="H25">
        <v>148.34</v>
      </c>
      <c r="I25">
        <v>1.48</v>
      </c>
      <c r="J25">
        <v>0.75</v>
      </c>
      <c r="K25">
        <v>0.11</v>
      </c>
      <c r="L25" t="s">
        <v>20</v>
      </c>
      <c r="M25">
        <v>148.28</v>
      </c>
      <c r="N25">
        <v>152.05000000000001</v>
      </c>
      <c r="O25">
        <v>143.88999999999999</v>
      </c>
      <c r="P25">
        <v>158.07</v>
      </c>
      <c r="Q25">
        <v>165.59</v>
      </c>
      <c r="R25">
        <v>58</v>
      </c>
      <c r="S25" t="s">
        <v>21</v>
      </c>
      <c r="U25">
        <f t="shared" ca="1" si="0"/>
        <v>-8.8499999999999943</v>
      </c>
      <c r="V25" s="3">
        <f t="shared" ca="1" si="1"/>
        <v>-5.968438090099807E-2</v>
      </c>
      <c r="W25" s="53" cm="1">
        <f t="array" aca="1" ref="W25" ca="1">_FV(A25,"P/E",TRUE)</f>
        <v>7.28</v>
      </c>
    </row>
    <row r="26" spans="1:23" x14ac:dyDescent="0.2">
      <c r="A26" t="e" vm="49">
        <v>#VALUE!</v>
      </c>
      <c r="B26" s="2">
        <v>46031</v>
      </c>
      <c r="C26">
        <v>1717.1</v>
      </c>
      <c r="D26" s="51" cm="1">
        <f t="array" aca="1" ref="D26" ca="1">_FV(A26,"Price")</f>
        <v>1699.2</v>
      </c>
      <c r="E26">
        <v>0.57999999999999996</v>
      </c>
      <c r="F26">
        <v>56.54</v>
      </c>
      <c r="G26">
        <v>1.48</v>
      </c>
      <c r="H26">
        <v>1712.45</v>
      </c>
      <c r="I26">
        <v>0.27</v>
      </c>
      <c r="J26">
        <v>0.84</v>
      </c>
      <c r="K26">
        <v>0.13</v>
      </c>
      <c r="L26" t="s">
        <v>20</v>
      </c>
      <c r="M26">
        <v>1695.33</v>
      </c>
      <c r="N26">
        <v>1734.27</v>
      </c>
      <c r="O26">
        <v>1648.42</v>
      </c>
      <c r="P26">
        <v>1802.95</v>
      </c>
      <c r="Q26">
        <v>1888.81</v>
      </c>
      <c r="R26">
        <v>58</v>
      </c>
      <c r="S26" t="s">
        <v>21</v>
      </c>
      <c r="U26">
        <f t="shared" ca="1" si="0"/>
        <v>-3.8700000000001182</v>
      </c>
      <c r="V26" s="3">
        <f t="shared" ca="1" si="1"/>
        <v>-2.2827414131762658E-3</v>
      </c>
      <c r="W26" s="53" cm="1">
        <f t="array" aca="1" ref="W26" ca="1">_FV(A26,"P/E",TRUE)</f>
        <v>30.59</v>
      </c>
    </row>
    <row r="27" spans="1:23" x14ac:dyDescent="0.2">
      <c r="A27" t="e" vm="12">
        <v>#VALUE!</v>
      </c>
      <c r="B27" s="2">
        <v>46031</v>
      </c>
      <c r="C27">
        <v>1229.5999999999999</v>
      </c>
      <c r="D27" s="51" cm="1">
        <f t="array" aca="1" ref="D27" ca="1">_FV(A27,"Price")</f>
        <v>1236.9000000000001</v>
      </c>
      <c r="E27">
        <v>0.11</v>
      </c>
      <c r="F27">
        <v>58.6</v>
      </c>
      <c r="G27">
        <v>11.09</v>
      </c>
      <c r="H27">
        <v>1168.6099999999999</v>
      </c>
      <c r="I27">
        <v>5.22</v>
      </c>
      <c r="J27">
        <v>0.69</v>
      </c>
      <c r="K27">
        <v>0.05</v>
      </c>
      <c r="L27" t="s">
        <v>20</v>
      </c>
      <c r="M27">
        <v>1211.1600000000001</v>
      </c>
      <c r="N27">
        <v>1241.9000000000001</v>
      </c>
      <c r="O27">
        <v>1133.55</v>
      </c>
      <c r="P27">
        <v>1291.08</v>
      </c>
      <c r="Q27">
        <v>1352.56</v>
      </c>
      <c r="R27">
        <v>61</v>
      </c>
      <c r="S27" t="s">
        <v>21</v>
      </c>
      <c r="U27">
        <f t="shared" ca="1" si="0"/>
        <v>-25.740000000000009</v>
      </c>
      <c r="V27" s="3">
        <f t="shared" ca="1" si="1"/>
        <v>-2.125235311602101E-2</v>
      </c>
      <c r="W27" s="53" cm="1">
        <f t="array" aca="1" ref="W27" ca="1">_FV(A27,"P/E",TRUE)</f>
        <v>68.900000000000006</v>
      </c>
    </row>
    <row r="28" spans="1:23" x14ac:dyDescent="0.2">
      <c r="A28" t="e" vm="70">
        <v>#VALUE!</v>
      </c>
      <c r="B28" s="2">
        <v>46031</v>
      </c>
      <c r="C28">
        <v>1464.9</v>
      </c>
      <c r="D28" s="51" cm="1">
        <f t="array" aca="1" ref="D28" ca="1">_FV(A28,"Price")</f>
        <v>1426.1</v>
      </c>
      <c r="E28">
        <v>-0.69</v>
      </c>
      <c r="F28">
        <v>46.84</v>
      </c>
      <c r="G28">
        <v>-0.43</v>
      </c>
      <c r="H28">
        <v>1438.69</v>
      </c>
      <c r="I28">
        <v>1.82</v>
      </c>
      <c r="J28">
        <v>1.24</v>
      </c>
      <c r="K28">
        <v>0.3</v>
      </c>
      <c r="L28" t="s">
        <v>20</v>
      </c>
      <c r="M28">
        <v>1442.93</v>
      </c>
      <c r="N28">
        <v>1479.55</v>
      </c>
      <c r="O28">
        <v>1395.53</v>
      </c>
      <c r="P28">
        <v>1538.15</v>
      </c>
      <c r="Q28">
        <v>1611.39</v>
      </c>
      <c r="R28">
        <v>45</v>
      </c>
      <c r="S28" t="s">
        <v>30</v>
      </c>
      <c r="U28">
        <f t="shared" ca="1" si="0"/>
        <v>16.830000000000155</v>
      </c>
      <c r="V28" s="3">
        <f t="shared" ca="1" si="1"/>
        <v>1.16637674731277E-2</v>
      </c>
      <c r="W28" s="53" cm="1">
        <f t="array" aca="1" ref="W28" ca="1">_FV(A28,"P/E",TRUE)</f>
        <v>61.53</v>
      </c>
    </row>
    <row r="29" spans="1:23" x14ac:dyDescent="0.2">
      <c r="A29" t="e" vm="23">
        <v>#VALUE!</v>
      </c>
      <c r="B29" s="2">
        <v>46031</v>
      </c>
      <c r="C29">
        <v>685.45</v>
      </c>
      <c r="D29" s="51" cm="1">
        <f t="array" aca="1" ref="D29" ca="1">_FV(A29,"Price")</f>
        <v>678</v>
      </c>
      <c r="E29">
        <v>1.49</v>
      </c>
      <c r="F29">
        <v>67.73</v>
      </c>
      <c r="G29">
        <v>8.6999999999999993</v>
      </c>
      <c r="H29">
        <v>641.32000000000005</v>
      </c>
      <c r="I29">
        <v>6.88</v>
      </c>
      <c r="J29">
        <v>0.99</v>
      </c>
      <c r="K29">
        <v>0.19</v>
      </c>
      <c r="L29" t="s">
        <v>20</v>
      </c>
      <c r="M29">
        <v>675.17</v>
      </c>
      <c r="N29">
        <v>692.3</v>
      </c>
      <c r="O29">
        <v>622.08000000000004</v>
      </c>
      <c r="P29">
        <v>719.72</v>
      </c>
      <c r="Q29">
        <v>754</v>
      </c>
      <c r="R29">
        <v>58</v>
      </c>
      <c r="S29" t="s">
        <v>21</v>
      </c>
      <c r="U29">
        <f t="shared" ca="1" si="0"/>
        <v>-2.8300000000000409</v>
      </c>
      <c r="V29" s="3">
        <f t="shared" ca="1" si="1"/>
        <v>-4.1915369462506352E-3</v>
      </c>
      <c r="W29" s="53" cm="1">
        <f t="array" aca="1" ref="W29" ca="1">_FV(A29,"P/E",TRUE)</f>
        <v>70.599999999999994</v>
      </c>
    </row>
    <row r="30" spans="1:23" x14ac:dyDescent="0.2">
      <c r="A30" t="e" vm="50">
        <v>#VALUE!</v>
      </c>
      <c r="B30" s="2">
        <v>46031</v>
      </c>
      <c r="C30">
        <v>157.61000000000001</v>
      </c>
      <c r="D30" s="51" cm="1">
        <f t="array" aca="1" ref="D30" ca="1">_FV(A30,"Price")</f>
        <v>161.32</v>
      </c>
      <c r="E30">
        <v>-0.97</v>
      </c>
      <c r="F30">
        <v>56.09</v>
      </c>
      <c r="G30">
        <v>7.0000000000000007E-2</v>
      </c>
      <c r="H30">
        <v>161.44999999999999</v>
      </c>
      <c r="I30">
        <v>-2.38</v>
      </c>
      <c r="J30">
        <v>0.99</v>
      </c>
      <c r="K30">
        <v>0.11</v>
      </c>
      <c r="L30" t="s">
        <v>20</v>
      </c>
      <c r="M30">
        <v>159.84</v>
      </c>
      <c r="N30">
        <v>159.19</v>
      </c>
      <c r="O30">
        <v>151.31</v>
      </c>
      <c r="P30">
        <v>165.49</v>
      </c>
      <c r="Q30">
        <v>173.37</v>
      </c>
      <c r="R30">
        <v>38</v>
      </c>
      <c r="S30" t="s">
        <v>21</v>
      </c>
      <c r="U30">
        <f t="shared" ca="1" si="0"/>
        <v>-1.4799999999999898</v>
      </c>
      <c r="V30" s="3">
        <f t="shared" ca="1" si="1"/>
        <v>-9.2592592592591946E-3</v>
      </c>
      <c r="W30" s="53" cm="1">
        <f t="array" aca="1" ref="W30" ca="1">_FV(A30,"P/E",TRUE)</f>
        <v>8.82</v>
      </c>
    </row>
    <row r="31" spans="1:23" x14ac:dyDescent="0.2">
      <c r="A31" t="e" vm="40">
        <v>#VALUE!</v>
      </c>
      <c r="B31" s="2">
        <v>46031</v>
      </c>
      <c r="C31">
        <v>2182.1999999999998</v>
      </c>
      <c r="D31" s="51" cm="1">
        <f t="array" aca="1" ref="D31" ca="1">_FV(A31,"Price")</f>
        <v>2177.9</v>
      </c>
      <c r="E31">
        <v>-1.25</v>
      </c>
      <c r="F31">
        <v>64.510000000000005</v>
      </c>
      <c r="G31">
        <v>18.02</v>
      </c>
      <c r="H31">
        <v>2087.71</v>
      </c>
      <c r="I31">
        <v>4.53</v>
      </c>
      <c r="J31">
        <v>1.27</v>
      </c>
      <c r="K31">
        <v>7.0000000000000007E-2</v>
      </c>
      <c r="L31" t="s">
        <v>20</v>
      </c>
      <c r="M31">
        <v>2149.4699999999998</v>
      </c>
      <c r="N31">
        <v>2204.02</v>
      </c>
      <c r="O31">
        <v>2025.08</v>
      </c>
      <c r="P31">
        <v>2291.31</v>
      </c>
      <c r="Q31">
        <v>2400.42</v>
      </c>
      <c r="R31">
        <v>78</v>
      </c>
      <c r="S31" t="s">
        <v>21</v>
      </c>
      <c r="U31">
        <f t="shared" ca="1" si="0"/>
        <v>-28.430000000000291</v>
      </c>
      <c r="V31" s="3">
        <f t="shared" ca="1" si="1"/>
        <v>-1.3226516304019267E-2</v>
      </c>
      <c r="W31" s="53" cm="1">
        <f t="array" aca="1" ref="W31" ca="1">_FV(A31,"P/E",TRUE)</f>
        <v>23.18</v>
      </c>
    </row>
    <row r="32" spans="1:23" x14ac:dyDescent="0.2">
      <c r="A32" t="e" vm="25">
        <v>#VALUE!</v>
      </c>
      <c r="B32" s="2">
        <v>46031</v>
      </c>
      <c r="C32">
        <v>753.45</v>
      </c>
      <c r="D32" s="51" cm="1">
        <f t="array" aca="1" ref="D32" ca="1">_FV(A32,"Price")</f>
        <v>760.15</v>
      </c>
      <c r="E32">
        <v>-0.09</v>
      </c>
      <c r="F32">
        <v>59.63</v>
      </c>
      <c r="G32">
        <v>1.33</v>
      </c>
      <c r="H32">
        <v>736.7</v>
      </c>
      <c r="I32">
        <v>2.27</v>
      </c>
      <c r="J32">
        <v>1.31</v>
      </c>
      <c r="K32">
        <v>0.05</v>
      </c>
      <c r="L32" t="s">
        <v>20</v>
      </c>
      <c r="M32">
        <v>742.15</v>
      </c>
      <c r="N32">
        <v>760.98</v>
      </c>
      <c r="O32">
        <v>714.6</v>
      </c>
      <c r="P32">
        <v>791.12</v>
      </c>
      <c r="Q32">
        <v>828.8</v>
      </c>
      <c r="R32">
        <v>68</v>
      </c>
      <c r="S32" t="s">
        <v>21</v>
      </c>
      <c r="U32">
        <f t="shared" ca="1" si="0"/>
        <v>-18</v>
      </c>
      <c r="V32" s="3">
        <f t="shared" ca="1" si="1"/>
        <v>-2.4253857036987132E-2</v>
      </c>
      <c r="W32" s="53" cm="1">
        <f t="array" aca="1" ref="W32" ca="1">_FV(A32,"P/E",TRUE)</f>
        <v>58.24</v>
      </c>
    </row>
    <row r="33" spans="1:23" x14ac:dyDescent="0.2">
      <c r="A33" t="e" vm="51">
        <v>#VALUE!</v>
      </c>
      <c r="B33" s="2">
        <v>46031</v>
      </c>
      <c r="C33">
        <v>80.48</v>
      </c>
      <c r="D33" s="51" cm="1">
        <f t="array" aca="1" ref="D33" ca="1">_FV(A33,"Price")</f>
        <v>82.74</v>
      </c>
      <c r="E33">
        <v>-0.6</v>
      </c>
      <c r="F33">
        <v>59.11</v>
      </c>
      <c r="G33">
        <v>0.53</v>
      </c>
      <c r="H33">
        <v>77.650000000000006</v>
      </c>
      <c r="I33">
        <v>3.64</v>
      </c>
      <c r="J33">
        <v>1.96</v>
      </c>
      <c r="K33">
        <v>0.13</v>
      </c>
      <c r="L33" t="s">
        <v>20</v>
      </c>
      <c r="M33">
        <v>79.27</v>
      </c>
      <c r="N33">
        <v>81.28</v>
      </c>
      <c r="O33">
        <v>75.319999999999993</v>
      </c>
      <c r="P33">
        <v>84.5</v>
      </c>
      <c r="Q33">
        <v>88.53</v>
      </c>
      <c r="R33">
        <v>73</v>
      </c>
      <c r="S33" t="s">
        <v>21</v>
      </c>
      <c r="U33">
        <f t="shared" ca="1" si="0"/>
        <v>-3.4699999999999989</v>
      </c>
      <c r="V33" s="3">
        <f t="shared" ca="1" si="1"/>
        <v>-4.3774441781253927E-2</v>
      </c>
      <c r="W33" s="53" cm="1">
        <f t="array" aca="1" ref="W33" ca="1">_FV(A33,"P/E",TRUE)</f>
        <v>10.49</v>
      </c>
    </row>
    <row r="34" spans="1:23" x14ac:dyDescent="0.2">
      <c r="A34" t="e" vm="7">
        <v>#VALUE!</v>
      </c>
      <c r="B34" s="2">
        <v>46031</v>
      </c>
      <c r="C34">
        <v>1484.3</v>
      </c>
      <c r="D34" s="51" cm="1">
        <f t="array" aca="1" ref="D34" ca="1">_FV(A34,"Price")</f>
        <v>1476.6</v>
      </c>
      <c r="E34">
        <v>0.32</v>
      </c>
      <c r="F34">
        <v>50.14</v>
      </c>
      <c r="G34">
        <v>-1.5</v>
      </c>
      <c r="H34">
        <v>1468.78</v>
      </c>
      <c r="I34">
        <v>1.06</v>
      </c>
      <c r="J34">
        <v>1.08</v>
      </c>
      <c r="K34">
        <v>0.06</v>
      </c>
      <c r="L34" t="s">
        <v>20</v>
      </c>
      <c r="M34">
        <v>1462.04</v>
      </c>
      <c r="N34">
        <v>1499.14</v>
      </c>
      <c r="O34">
        <v>1424.72</v>
      </c>
      <c r="P34">
        <v>1558.52</v>
      </c>
      <c r="Q34">
        <v>1632.73</v>
      </c>
      <c r="R34">
        <v>45</v>
      </c>
      <c r="S34" t="s">
        <v>30</v>
      </c>
      <c r="U34">
        <f t="shared" ca="1" si="0"/>
        <v>-14.559999999999945</v>
      </c>
      <c r="V34" s="3">
        <f t="shared" ca="1" si="1"/>
        <v>-9.9586878607972051E-3</v>
      </c>
      <c r="W34" s="53" cm="1">
        <f t="array" aca="1" ref="W34" ca="1">_FV(A34,"P/E",TRUE)</f>
        <v>68.37</v>
      </c>
    </row>
    <row r="35" spans="1:23" x14ac:dyDescent="0.2">
      <c r="A35" t="e" vm="26">
        <v>#VALUE!</v>
      </c>
      <c r="B35" s="2">
        <v>46031</v>
      </c>
      <c r="C35">
        <v>363.6</v>
      </c>
      <c r="D35" s="51" cm="1">
        <f t="array" aca="1" ref="D35" ca="1">_FV(A35,"Price")</f>
        <v>371</v>
      </c>
      <c r="E35">
        <v>-0.23</v>
      </c>
      <c r="F35">
        <v>47.71</v>
      </c>
      <c r="G35">
        <v>2.29</v>
      </c>
      <c r="H35">
        <v>358.04</v>
      </c>
      <c r="I35">
        <v>1.55</v>
      </c>
      <c r="J35">
        <v>1.77</v>
      </c>
      <c r="K35">
        <v>0.1</v>
      </c>
      <c r="L35" t="s">
        <v>20</v>
      </c>
      <c r="M35">
        <v>358.15</v>
      </c>
      <c r="N35">
        <v>367.24</v>
      </c>
      <c r="O35">
        <v>347.29</v>
      </c>
      <c r="P35">
        <v>381.78</v>
      </c>
      <c r="Q35">
        <v>399.96</v>
      </c>
      <c r="R35">
        <v>65</v>
      </c>
      <c r="S35" t="s">
        <v>30</v>
      </c>
      <c r="U35">
        <f t="shared" ca="1" si="0"/>
        <v>-12.850000000000023</v>
      </c>
      <c r="V35" s="3">
        <f t="shared" ca="1" si="1"/>
        <v>-3.5878821722741934E-2</v>
      </c>
      <c r="W35" s="53" cm="1">
        <f t="array" aca="1" ref="W35" ca="1">_FV(A35,"P/E",TRUE)</f>
        <v>5.64</v>
      </c>
    </row>
    <row r="36" spans="1:23" x14ac:dyDescent="0.2">
      <c r="A36" t="e" vm="47">
        <v>#VALUE!</v>
      </c>
      <c r="B36" s="2">
        <v>46031</v>
      </c>
      <c r="C36">
        <v>3963.4</v>
      </c>
      <c r="D36" s="51" cm="1">
        <f t="array" aca="1" ref="D36" ca="1">_FV(A36,"Price")</f>
        <v>4018.2</v>
      </c>
      <c r="E36">
        <v>-0.69</v>
      </c>
      <c r="F36">
        <v>69.989999999999995</v>
      </c>
      <c r="G36">
        <v>17.260000000000002</v>
      </c>
      <c r="H36">
        <v>3786.19</v>
      </c>
      <c r="I36">
        <v>4.68</v>
      </c>
      <c r="J36">
        <v>1.53</v>
      </c>
      <c r="K36">
        <v>0.12</v>
      </c>
      <c r="L36" t="s">
        <v>20</v>
      </c>
      <c r="M36">
        <v>3903.95</v>
      </c>
      <c r="N36">
        <v>4003.03</v>
      </c>
      <c r="O36">
        <v>3672.6</v>
      </c>
      <c r="P36">
        <v>4161.57</v>
      </c>
      <c r="Q36">
        <v>4359.74</v>
      </c>
      <c r="R36">
        <v>88</v>
      </c>
      <c r="S36" t="s">
        <v>21</v>
      </c>
      <c r="U36">
        <f t="shared" ca="1" si="0"/>
        <v>-114.25</v>
      </c>
      <c r="V36" s="3">
        <f t="shared" ca="1" si="1"/>
        <v>-2.9265231368229616E-2</v>
      </c>
      <c r="W36" s="53" cm="1">
        <f t="array" aca="1" ref="W36" ca="1">_FV(A36,"P/E",TRUE)</f>
        <v>63.32</v>
      </c>
    </row>
    <row r="37" spans="1:23" x14ac:dyDescent="0.2">
      <c r="A37" t="e" vm="27">
        <v>#VALUE!</v>
      </c>
      <c r="B37" s="2">
        <v>46031</v>
      </c>
      <c r="C37">
        <v>609.85</v>
      </c>
      <c r="D37" s="51" cm="1">
        <f t="array" aca="1" ref="D37" ca="1">_FV(A37,"Price")</f>
        <v>682.7</v>
      </c>
      <c r="E37">
        <v>1.24</v>
      </c>
      <c r="F37">
        <v>75.569999999999993</v>
      </c>
      <c r="G37">
        <v>11.31</v>
      </c>
      <c r="H37">
        <v>554.02</v>
      </c>
      <c r="I37">
        <v>10.08</v>
      </c>
      <c r="J37">
        <v>1.0900000000000001</v>
      </c>
      <c r="K37">
        <v>0.21</v>
      </c>
      <c r="L37" t="s">
        <v>20</v>
      </c>
      <c r="M37">
        <v>600.70000000000005</v>
      </c>
      <c r="N37">
        <v>615.95000000000005</v>
      </c>
      <c r="O37">
        <v>537.4</v>
      </c>
      <c r="P37">
        <v>640.34</v>
      </c>
      <c r="Q37">
        <v>670.83</v>
      </c>
      <c r="R37">
        <v>61</v>
      </c>
      <c r="S37" t="s">
        <v>21</v>
      </c>
      <c r="U37">
        <f t="shared" ca="1" si="0"/>
        <v>-82</v>
      </c>
      <c r="V37" s="3">
        <f t="shared" ca="1" si="1"/>
        <v>-0.13650740802397202</v>
      </c>
      <c r="W37" s="53" cm="1">
        <f t="array" aca="1" ref="W37" ca="1">_FV(A37,"P/E",TRUE)</f>
        <v>22.96</v>
      </c>
    </row>
    <row r="38" spans="1:23" x14ac:dyDescent="0.2">
      <c r="A38" t="e" vm="20">
        <v>#VALUE!</v>
      </c>
      <c r="B38" s="2">
        <v>46031</v>
      </c>
      <c r="C38">
        <v>1466.8</v>
      </c>
      <c r="D38" s="51" cm="1">
        <f t="array" aca="1" ref="D38" ca="1">_FV(A38,"Price")</f>
        <v>1411.4</v>
      </c>
      <c r="E38">
        <v>-0.11</v>
      </c>
      <c r="F38">
        <v>59.34</v>
      </c>
      <c r="G38">
        <v>7.65</v>
      </c>
      <c r="H38">
        <v>1380.23</v>
      </c>
      <c r="I38">
        <v>6.27</v>
      </c>
      <c r="J38">
        <v>1</v>
      </c>
      <c r="K38">
        <v>0.06</v>
      </c>
      <c r="L38" t="s">
        <v>20</v>
      </c>
      <c r="M38">
        <v>1444.8</v>
      </c>
      <c r="N38">
        <v>1481.47</v>
      </c>
      <c r="O38">
        <v>1338.82</v>
      </c>
      <c r="P38">
        <v>1540.14</v>
      </c>
      <c r="Q38">
        <v>1613.48</v>
      </c>
      <c r="R38">
        <v>61</v>
      </c>
      <c r="S38" t="s">
        <v>21</v>
      </c>
      <c r="U38">
        <f t="shared" ca="1" si="0"/>
        <v>33.399999999999864</v>
      </c>
      <c r="V38" s="3">
        <f t="shared" ca="1" si="1"/>
        <v>2.3117386489479419E-2</v>
      </c>
      <c r="W38" s="53" cm="1">
        <f t="array" aca="1" ref="W38" ca="1">_FV(A38,"P/E",TRUE)</f>
        <v>86.96</v>
      </c>
    </row>
  </sheetData>
  <autoFilter ref="A1:W38" xr:uid="{DF5F100C-272B-D146-96C4-FDA64F1FBF61}"/>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A8B8-1516-8544-BCAA-D7811956D0FD}">
  <sheetPr filterMode="1"/>
  <dimension ref="A1:W40"/>
  <sheetViews>
    <sheetView tabSelected="1" workbookViewId="0">
      <selection activeCell="A13" sqref="A13:XFD13"/>
    </sheetView>
  </sheetViews>
  <sheetFormatPr baseColWidth="10" defaultColWidth="8.83203125" defaultRowHeight="15" x14ac:dyDescent="0.2"/>
  <cols>
    <col min="1" max="1" width="49.33203125" customWidth="1"/>
    <col min="2" max="2" width="17" customWidth="1"/>
    <col min="4" max="4" width="10.1640625" bestFit="1" customWidth="1"/>
    <col min="22" max="22" width="8.83203125" style="52"/>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23" x14ac:dyDescent="0.2">
      <c r="A2" t="e" vm="71">
        <v>#VALUE!</v>
      </c>
      <c r="B2" s="2">
        <v>46031</v>
      </c>
      <c r="C2">
        <v>2153.6999999999998</v>
      </c>
      <c r="D2" s="51" cm="1">
        <f t="array" aca="1" ref="D2" ca="1">_FV(A2,"Price")</f>
        <v>2157.3000000000002</v>
      </c>
      <c r="E2">
        <v>-0.28999999999999998</v>
      </c>
      <c r="F2">
        <v>36.89</v>
      </c>
      <c r="G2">
        <v>-25.47</v>
      </c>
      <c r="H2">
        <v>2296.21</v>
      </c>
      <c r="I2">
        <v>-6.21</v>
      </c>
      <c r="J2">
        <v>0.71</v>
      </c>
      <c r="K2">
        <v>0.2</v>
      </c>
      <c r="L2" t="s">
        <v>20</v>
      </c>
      <c r="M2">
        <v>2273.25</v>
      </c>
      <c r="N2">
        <v>2175.2399999999998</v>
      </c>
      <c r="O2">
        <v>2067.5500000000002</v>
      </c>
      <c r="P2">
        <v>2261.38</v>
      </c>
      <c r="Q2">
        <v>2369.0700000000002</v>
      </c>
      <c r="R2">
        <v>0</v>
      </c>
      <c r="S2" t="s">
        <v>85</v>
      </c>
      <c r="U2">
        <f ca="1">D2-N2</f>
        <v>-17.9399999999996</v>
      </c>
      <c r="V2" s="52">
        <f ca="1">U2/D2</f>
        <v>-8.3159504936724596E-3</v>
      </c>
      <c r="W2" s="53" cm="1">
        <f t="array" aca="1" ref="W2" ca="1">_FV(A2,"P/E",TRUE)</f>
        <v>30.36</v>
      </c>
    </row>
    <row r="3" spans="1:23" x14ac:dyDescent="0.2">
      <c r="A3" t="e" vm="72">
        <v>#VALUE!</v>
      </c>
      <c r="B3" s="2">
        <v>46031</v>
      </c>
      <c r="C3">
        <v>1435.9</v>
      </c>
      <c r="D3" s="51" cm="1">
        <f t="array" aca="1" ref="D3" ca="1">_FV(A3,"Price")</f>
        <v>1421.9</v>
      </c>
      <c r="E3">
        <v>-1.05</v>
      </c>
      <c r="F3">
        <v>50.39</v>
      </c>
      <c r="G3">
        <v>-5.55</v>
      </c>
      <c r="H3">
        <v>1489.88</v>
      </c>
      <c r="I3">
        <v>-3.62</v>
      </c>
      <c r="J3">
        <v>0.94</v>
      </c>
      <c r="K3">
        <v>0.13</v>
      </c>
      <c r="L3" t="s">
        <v>20</v>
      </c>
      <c r="M3">
        <v>1474.98</v>
      </c>
      <c r="N3">
        <v>1450.26</v>
      </c>
      <c r="O3">
        <v>1378.46</v>
      </c>
      <c r="P3">
        <v>1507.7</v>
      </c>
      <c r="Q3">
        <v>1579.49</v>
      </c>
      <c r="R3">
        <v>10</v>
      </c>
      <c r="S3" t="s">
        <v>85</v>
      </c>
      <c r="U3">
        <f t="shared" ref="U3:U40" ca="1" si="0">D3-N3</f>
        <v>-28.3599999999999</v>
      </c>
      <c r="V3" s="52">
        <f t="shared" ref="V3:V40" ca="1" si="1">U3/D3</f>
        <v>-1.994514382164702E-2</v>
      </c>
      <c r="W3" s="53" cm="1">
        <f t="array" aca="1" ref="W3" ca="1">_FV(A3,"P/E",TRUE)</f>
        <v>25.84</v>
      </c>
    </row>
    <row r="4" spans="1:23" x14ac:dyDescent="0.2">
      <c r="A4" t="e" vm="73">
        <v>#VALUE!</v>
      </c>
      <c r="B4" s="2">
        <v>46031</v>
      </c>
      <c r="C4">
        <v>959.6</v>
      </c>
      <c r="D4" s="51" cm="1">
        <f t="array" aca="1" ref="D4" ca="1">_FV(A4,"Price")</f>
        <v>950.25</v>
      </c>
      <c r="E4">
        <v>-0.69</v>
      </c>
      <c r="F4">
        <v>46.56</v>
      </c>
      <c r="G4">
        <v>-12.52</v>
      </c>
      <c r="H4">
        <v>1015.03</v>
      </c>
      <c r="I4">
        <v>-5.46</v>
      </c>
      <c r="J4">
        <v>1.1200000000000001</v>
      </c>
      <c r="K4">
        <v>0.08</v>
      </c>
      <c r="L4" t="s">
        <v>20</v>
      </c>
      <c r="M4">
        <v>1004.88</v>
      </c>
      <c r="N4">
        <v>969.2</v>
      </c>
      <c r="O4">
        <v>921.22</v>
      </c>
      <c r="P4">
        <v>1007.58</v>
      </c>
      <c r="Q4">
        <v>1055.56</v>
      </c>
      <c r="R4">
        <v>20</v>
      </c>
      <c r="S4" t="s">
        <v>85</v>
      </c>
      <c r="U4">
        <f t="shared" ca="1" si="0"/>
        <v>-18.950000000000045</v>
      </c>
      <c r="V4" s="52">
        <f t="shared" ca="1" si="1"/>
        <v>-1.9942120494606731E-2</v>
      </c>
      <c r="W4" s="53" cm="1">
        <f t="array" aca="1" ref="W4" ca="1">_FV(A4,"P/E",TRUE)</f>
        <v>41.12</v>
      </c>
    </row>
    <row r="5" spans="1:23" x14ac:dyDescent="0.2">
      <c r="A5" t="e" vm="74">
        <v>#VALUE!</v>
      </c>
      <c r="B5" s="2">
        <v>46031</v>
      </c>
      <c r="C5">
        <v>1992.4</v>
      </c>
      <c r="D5" s="51" cm="1">
        <f t="array" aca="1" ref="D5" ca="1">_FV(A5,"Price")</f>
        <v>2002.5</v>
      </c>
      <c r="E5">
        <v>-0.46</v>
      </c>
      <c r="F5">
        <v>46.35</v>
      </c>
      <c r="G5">
        <v>-13.28</v>
      </c>
      <c r="H5">
        <v>2058.61</v>
      </c>
      <c r="I5">
        <v>-3.22</v>
      </c>
      <c r="J5">
        <v>0.9</v>
      </c>
      <c r="K5">
        <v>0.03</v>
      </c>
      <c r="L5" t="s">
        <v>20</v>
      </c>
      <c r="M5">
        <v>2038.02</v>
      </c>
      <c r="N5">
        <v>2012.32</v>
      </c>
      <c r="O5">
        <v>1912.7</v>
      </c>
      <c r="P5">
        <v>2092.02</v>
      </c>
      <c r="Q5">
        <v>2191.64</v>
      </c>
      <c r="R5">
        <v>10</v>
      </c>
      <c r="S5" t="s">
        <v>85</v>
      </c>
      <c r="U5">
        <f t="shared" ca="1" si="0"/>
        <v>-9.8199999999999363</v>
      </c>
      <c r="V5" s="52">
        <f t="shared" ca="1" si="1"/>
        <v>-4.903870162297097E-3</v>
      </c>
      <c r="W5" s="53" cm="1">
        <f t="array" aca="1" ref="W5" ca="1">_FV(A5,"P/E",TRUE)</f>
        <v>32.96</v>
      </c>
    </row>
    <row r="6" spans="1:23" x14ac:dyDescent="0.2">
      <c r="A6" t="e" vm="32">
        <v>#VALUE!</v>
      </c>
      <c r="B6" s="2">
        <v>46031</v>
      </c>
      <c r="C6">
        <v>2027.1</v>
      </c>
      <c r="D6" s="51" cm="1">
        <f t="array" aca="1" ref="D6" ca="1">_FV(A6,"Price")</f>
        <v>2016.4</v>
      </c>
      <c r="E6">
        <v>-0.93</v>
      </c>
      <c r="F6">
        <v>53.09</v>
      </c>
      <c r="G6">
        <v>-6.33</v>
      </c>
      <c r="H6">
        <v>2089.4899999999998</v>
      </c>
      <c r="I6">
        <v>-2.99</v>
      </c>
      <c r="J6">
        <v>0.85</v>
      </c>
      <c r="K6">
        <v>0.15</v>
      </c>
      <c r="L6" t="s">
        <v>20</v>
      </c>
      <c r="M6">
        <v>2068.6</v>
      </c>
      <c r="N6">
        <v>2047.37</v>
      </c>
      <c r="O6">
        <v>1946.02</v>
      </c>
      <c r="P6">
        <v>2128.4499999999998</v>
      </c>
      <c r="Q6">
        <v>2229.81</v>
      </c>
      <c r="R6">
        <v>10</v>
      </c>
      <c r="S6" t="s">
        <v>85</v>
      </c>
      <c r="U6">
        <f t="shared" ca="1" si="0"/>
        <v>-30.9699999999998</v>
      </c>
      <c r="V6" s="52">
        <f t="shared" ca="1" si="1"/>
        <v>-1.5359055742908053E-2</v>
      </c>
      <c r="W6" s="53" cm="1">
        <f t="array" aca="1" ref="W6" ca="1">_FV(A6,"P/E",TRUE)</f>
        <v>30.39</v>
      </c>
    </row>
    <row r="7" spans="1:23" hidden="1" x14ac:dyDescent="0.2">
      <c r="A7" t="e" vm="75">
        <v>#VALUE!</v>
      </c>
      <c r="B7" s="2">
        <v>46031</v>
      </c>
      <c r="C7">
        <v>5977.5</v>
      </c>
      <c r="D7" s="51" cm="1">
        <f t="array" aca="1" ref="D7" ca="1">_FV(A7,"Price")</f>
        <v>5898.5</v>
      </c>
      <c r="E7">
        <v>0.17</v>
      </c>
      <c r="F7">
        <v>54.3</v>
      </c>
      <c r="G7">
        <v>-19.649999999999999</v>
      </c>
      <c r="H7">
        <v>5959.4</v>
      </c>
      <c r="I7">
        <v>0.3</v>
      </c>
      <c r="J7">
        <v>1.22</v>
      </c>
      <c r="K7">
        <v>0.03</v>
      </c>
      <c r="L7" t="s">
        <v>20</v>
      </c>
      <c r="M7">
        <v>5899.81</v>
      </c>
      <c r="N7">
        <v>6037.28</v>
      </c>
      <c r="O7">
        <v>5738.4</v>
      </c>
      <c r="P7">
        <v>6276.38</v>
      </c>
      <c r="Q7">
        <v>6575.25</v>
      </c>
      <c r="R7">
        <v>40</v>
      </c>
      <c r="S7" t="s">
        <v>85</v>
      </c>
      <c r="U7">
        <f t="shared" ca="1" si="0"/>
        <v>-138.77999999999975</v>
      </c>
      <c r="V7" s="52">
        <f t="shared" ca="1" si="1"/>
        <v>-2.3528015597185682E-2</v>
      </c>
      <c r="W7" s="53" cm="1">
        <f t="array" aca="1" ref="W7" ca="1">_FV(A7,"P/E",TRUE)</f>
        <v>61.41</v>
      </c>
    </row>
    <row r="8" spans="1:23" x14ac:dyDescent="0.2">
      <c r="A8" t="e" vm="1">
        <v>#VALUE!</v>
      </c>
      <c r="B8" s="2">
        <v>46031</v>
      </c>
      <c r="C8">
        <v>1465.7</v>
      </c>
      <c r="D8" s="51" cm="1">
        <f t="array" aca="1" ref="D8" ca="1">_FV(A8,"Price")</f>
        <v>1397.5</v>
      </c>
      <c r="E8">
        <v>-1.07</v>
      </c>
      <c r="F8">
        <v>41.4</v>
      </c>
      <c r="G8">
        <v>-8.17</v>
      </c>
      <c r="H8">
        <v>1511.95</v>
      </c>
      <c r="I8">
        <v>-3.06</v>
      </c>
      <c r="J8">
        <v>2.06</v>
      </c>
      <c r="K8">
        <v>0.15</v>
      </c>
      <c r="L8" t="s">
        <v>20</v>
      </c>
      <c r="M8">
        <v>1496.83</v>
      </c>
      <c r="N8">
        <v>1480.36</v>
      </c>
      <c r="O8">
        <v>1407.07</v>
      </c>
      <c r="P8">
        <v>1538.98</v>
      </c>
      <c r="Q8">
        <v>1612.27</v>
      </c>
      <c r="R8">
        <v>20</v>
      </c>
      <c r="S8" t="s">
        <v>85</v>
      </c>
      <c r="U8">
        <f t="shared" ca="1" si="0"/>
        <v>-82.8599999999999</v>
      </c>
      <c r="V8" s="52">
        <f t="shared" ca="1" si="1"/>
        <v>-5.9291592128801363E-2</v>
      </c>
      <c r="W8" s="53" cm="1">
        <f t="array" aca="1" ref="W8" ca="1">_FV(A8,"P/E",TRUE)</f>
        <v>21.29</v>
      </c>
    </row>
    <row r="9" spans="1:23" x14ac:dyDescent="0.2">
      <c r="A9" t="e" vm="76">
        <v>#VALUE!</v>
      </c>
      <c r="B9" s="2">
        <v>46031</v>
      </c>
      <c r="C9">
        <v>1210.0999999999999</v>
      </c>
      <c r="D9" s="51" cm="1">
        <f t="array" aca="1" ref="D9" ca="1">_FV(A9,"Price")</f>
        <v>1175.5</v>
      </c>
      <c r="E9">
        <v>-0.44</v>
      </c>
      <c r="F9">
        <v>42.88</v>
      </c>
      <c r="G9">
        <v>-3.25</v>
      </c>
      <c r="H9">
        <v>1252.23</v>
      </c>
      <c r="I9">
        <v>-3.36</v>
      </c>
      <c r="J9">
        <v>0.81</v>
      </c>
      <c r="K9">
        <v>0.12</v>
      </c>
      <c r="L9" t="s">
        <v>20</v>
      </c>
      <c r="M9">
        <v>1239.71</v>
      </c>
      <c r="N9">
        <v>1222.2</v>
      </c>
      <c r="O9">
        <v>1161.7</v>
      </c>
      <c r="P9">
        <v>1270.5999999999999</v>
      </c>
      <c r="Q9">
        <v>1331.11</v>
      </c>
      <c r="R9">
        <v>0</v>
      </c>
      <c r="S9" t="s">
        <v>85</v>
      </c>
      <c r="U9">
        <f t="shared" ca="1" si="0"/>
        <v>-46.700000000000045</v>
      </c>
      <c r="V9" s="52">
        <f t="shared" ca="1" si="1"/>
        <v>-3.9727775414717177E-2</v>
      </c>
      <c r="W9" s="53" cm="1">
        <f t="array" aca="1" ref="W9" ca="1">_FV(A9,"P/E",TRUE)</f>
        <v>17.12</v>
      </c>
    </row>
    <row r="10" spans="1:23" hidden="1" x14ac:dyDescent="0.2">
      <c r="A10" t="e" vm="13">
        <v>#VALUE!</v>
      </c>
      <c r="B10" s="2">
        <v>46031</v>
      </c>
      <c r="C10">
        <v>2776.9</v>
      </c>
      <c r="D10" s="51" cm="1">
        <f t="array" aca="1" ref="D10" ca="1">_FV(A10,"Price")</f>
        <v>2809.6</v>
      </c>
      <c r="E10">
        <v>-0.68</v>
      </c>
      <c r="F10">
        <v>50.48</v>
      </c>
      <c r="G10">
        <v>-5.14</v>
      </c>
      <c r="H10">
        <v>2782.94</v>
      </c>
      <c r="I10">
        <v>-0.22</v>
      </c>
      <c r="J10">
        <v>1.1599999999999999</v>
      </c>
      <c r="K10">
        <v>0.04</v>
      </c>
      <c r="L10" t="s">
        <v>20</v>
      </c>
      <c r="M10">
        <v>2755.11</v>
      </c>
      <c r="N10">
        <v>2804.67</v>
      </c>
      <c r="O10">
        <v>2665.82</v>
      </c>
      <c r="P10">
        <v>2915.74</v>
      </c>
      <c r="Q10">
        <v>3054.59</v>
      </c>
      <c r="R10">
        <v>40</v>
      </c>
      <c r="S10" t="s">
        <v>85</v>
      </c>
      <c r="U10">
        <f t="shared" ca="1" si="0"/>
        <v>4.9299999999998363</v>
      </c>
      <c r="V10" s="52">
        <f t="shared" ca="1" si="1"/>
        <v>1.7546981776764793E-3</v>
      </c>
      <c r="W10" s="53" cm="1">
        <f t="array" aca="1" ref="W10" ca="1">_FV(A10,"P/E",TRUE)</f>
        <v>46.04</v>
      </c>
    </row>
    <row r="11" spans="1:23" x14ac:dyDescent="0.2">
      <c r="A11" t="e" vm="8">
        <v>#VALUE!</v>
      </c>
      <c r="B11" s="2">
        <v>46031</v>
      </c>
      <c r="C11">
        <v>939</v>
      </c>
      <c r="D11" s="51" cm="1">
        <f t="array" aca="1" ref="D11" ca="1">_FV(A11,"Price")</f>
        <v>931.1</v>
      </c>
      <c r="E11">
        <v>-0.19</v>
      </c>
      <c r="F11">
        <v>40.46</v>
      </c>
      <c r="G11">
        <v>-5.6</v>
      </c>
      <c r="H11">
        <v>990.05</v>
      </c>
      <c r="I11">
        <v>-5.16</v>
      </c>
      <c r="J11">
        <v>1.87</v>
      </c>
      <c r="K11">
        <v>0.14000000000000001</v>
      </c>
      <c r="L11" t="s">
        <v>20</v>
      </c>
      <c r="M11">
        <v>980.15</v>
      </c>
      <c r="N11">
        <v>948.39</v>
      </c>
      <c r="O11">
        <v>901.44</v>
      </c>
      <c r="P11">
        <v>985.95</v>
      </c>
      <c r="Q11">
        <v>1032.9000000000001</v>
      </c>
      <c r="R11">
        <v>20</v>
      </c>
      <c r="S11" t="s">
        <v>85</v>
      </c>
      <c r="U11">
        <f t="shared" ca="1" si="0"/>
        <v>-17.289999999999964</v>
      </c>
      <c r="V11" s="52">
        <f t="shared" ca="1" si="1"/>
        <v>-1.8569434002792356E-2</v>
      </c>
      <c r="W11" s="53" cm="1">
        <f t="array" aca="1" ref="W11" ca="1">_FV(A11,"P/E",TRUE)</f>
        <v>19.579999999999998</v>
      </c>
    </row>
    <row r="12" spans="1:23" hidden="1" x14ac:dyDescent="0.2">
      <c r="A12" t="e" vm="77">
        <v>#VALUE!</v>
      </c>
      <c r="B12" s="2">
        <v>46031</v>
      </c>
      <c r="C12">
        <v>749.9</v>
      </c>
      <c r="D12" s="51" cm="1">
        <f t="array" aca="1" ref="D12" ca="1">_FV(A12,"Price")</f>
        <v>732.55</v>
      </c>
      <c r="E12">
        <v>1.93</v>
      </c>
      <c r="F12">
        <v>48.76</v>
      </c>
      <c r="G12">
        <v>-3</v>
      </c>
      <c r="H12">
        <v>761.67</v>
      </c>
      <c r="I12">
        <v>-1.55</v>
      </c>
      <c r="J12">
        <v>0.86</v>
      </c>
      <c r="K12">
        <v>0.08</v>
      </c>
      <c r="L12" t="s">
        <v>20</v>
      </c>
      <c r="M12">
        <v>754.05</v>
      </c>
      <c r="N12">
        <v>757.4</v>
      </c>
      <c r="O12">
        <v>719.9</v>
      </c>
      <c r="P12">
        <v>787.4</v>
      </c>
      <c r="Q12">
        <v>824.89</v>
      </c>
      <c r="R12">
        <v>30</v>
      </c>
      <c r="S12" t="s">
        <v>85</v>
      </c>
      <c r="U12">
        <f t="shared" ca="1" si="0"/>
        <v>-24.850000000000023</v>
      </c>
      <c r="V12" s="52">
        <f t="shared" ca="1" si="1"/>
        <v>-3.3922599139990475E-2</v>
      </c>
      <c r="W12" s="53" cm="1">
        <f t="array" aca="1" ref="W12" ca="1">_FV(A12,"P/E",TRUE)</f>
        <v>84.51</v>
      </c>
    </row>
    <row r="13" spans="1:23" x14ac:dyDescent="0.2">
      <c r="A13" t="e" vm="78">
        <v>#VALUE!</v>
      </c>
      <c r="B13" s="2">
        <v>46031</v>
      </c>
      <c r="C13">
        <v>5773</v>
      </c>
      <c r="D13" s="51" cm="1">
        <f t="array" aca="1" ref="D13" ca="1">_FV(A13,"Price")</f>
        <v>5651.5</v>
      </c>
      <c r="E13">
        <v>-0.54</v>
      </c>
      <c r="F13">
        <v>58.19</v>
      </c>
      <c r="G13">
        <v>-34.29</v>
      </c>
      <c r="H13">
        <v>5844.6</v>
      </c>
      <c r="I13">
        <v>-1.23</v>
      </c>
      <c r="J13">
        <v>0.72</v>
      </c>
      <c r="K13">
        <v>0.05</v>
      </c>
      <c r="L13" t="s">
        <v>20</v>
      </c>
      <c r="M13">
        <v>5786.15</v>
      </c>
      <c r="N13">
        <v>5830.73</v>
      </c>
      <c r="O13">
        <v>5542.08</v>
      </c>
      <c r="P13">
        <v>6061.65</v>
      </c>
      <c r="Q13">
        <v>6350.3</v>
      </c>
      <c r="R13">
        <v>38</v>
      </c>
      <c r="S13" t="s">
        <v>85</v>
      </c>
      <c r="U13">
        <f t="shared" ca="1" si="0"/>
        <v>-179.22999999999956</v>
      </c>
      <c r="V13" s="52">
        <f t="shared" ca="1" si="1"/>
        <v>-3.171370432628498E-2</v>
      </c>
      <c r="W13" s="53" cm="1">
        <f t="array" aca="1" ref="W13" ca="1">_FV(A13,"P/E",TRUE)</f>
        <v>21.49</v>
      </c>
    </row>
    <row r="14" spans="1:23" x14ac:dyDescent="0.2">
      <c r="A14" t="e" vm="79">
        <v>#VALUE!</v>
      </c>
      <c r="B14" s="2">
        <v>46031</v>
      </c>
      <c r="C14">
        <v>337.15</v>
      </c>
      <c r="D14" s="51" cm="1">
        <f t="array" aca="1" ref="D14" ca="1">_FV(A14,"Price")</f>
        <v>329.2</v>
      </c>
      <c r="E14">
        <v>-0.1</v>
      </c>
      <c r="F14">
        <v>21.84</v>
      </c>
      <c r="G14">
        <v>-6.37</v>
      </c>
      <c r="H14">
        <v>392.17</v>
      </c>
      <c r="I14">
        <v>-14.03</v>
      </c>
      <c r="J14">
        <v>2.63</v>
      </c>
      <c r="K14">
        <v>0.04</v>
      </c>
      <c r="L14" t="s">
        <v>20</v>
      </c>
      <c r="M14">
        <v>388.25</v>
      </c>
      <c r="N14">
        <v>340.52</v>
      </c>
      <c r="O14">
        <v>323.66000000000003</v>
      </c>
      <c r="P14">
        <v>354.01</v>
      </c>
      <c r="Q14">
        <v>370.86</v>
      </c>
      <c r="R14">
        <v>20</v>
      </c>
      <c r="S14" t="s">
        <v>85</v>
      </c>
      <c r="U14">
        <f t="shared" ca="1" si="0"/>
        <v>-11.319999999999993</v>
      </c>
      <c r="V14" s="52">
        <f t="shared" ca="1" si="1"/>
        <v>-3.4386391251518815E-2</v>
      </c>
      <c r="W14" s="53" cm="1">
        <f t="array" aca="1" ref="W14" ca="1">_FV(A14,"P/E",TRUE)</f>
        <v>20.77</v>
      </c>
    </row>
    <row r="15" spans="1:23" x14ac:dyDescent="0.2">
      <c r="A15" t="e" vm="42">
        <v>#VALUE!</v>
      </c>
      <c r="B15" s="2">
        <v>46031</v>
      </c>
      <c r="C15">
        <v>2126.8000000000002</v>
      </c>
      <c r="D15" s="51" cm="1">
        <f t="array" aca="1" ref="D15" ca="1">_FV(A15,"Price")</f>
        <v>418.2</v>
      </c>
      <c r="E15">
        <v>-0.56000000000000005</v>
      </c>
      <c r="F15">
        <v>52.3</v>
      </c>
      <c r="G15">
        <v>3.09</v>
      </c>
      <c r="H15">
        <v>2135.73</v>
      </c>
      <c r="I15">
        <v>-0.42</v>
      </c>
      <c r="J15">
        <v>0.95</v>
      </c>
      <c r="K15">
        <v>0.05</v>
      </c>
      <c r="L15" t="s">
        <v>20</v>
      </c>
      <c r="M15">
        <v>2114.37</v>
      </c>
      <c r="N15">
        <v>2148.0700000000002</v>
      </c>
      <c r="O15">
        <v>2041.73</v>
      </c>
      <c r="P15">
        <v>2233.14</v>
      </c>
      <c r="Q15">
        <v>2339.48</v>
      </c>
      <c r="R15">
        <v>40</v>
      </c>
      <c r="S15" t="s">
        <v>85</v>
      </c>
      <c r="U15">
        <f t="shared" ca="1" si="0"/>
        <v>-1729.8700000000001</v>
      </c>
      <c r="V15" s="52">
        <f t="shared" ca="1" si="1"/>
        <v>-4.1364658058345292</v>
      </c>
      <c r="W15" s="53" cm="1">
        <f t="array" aca="1" ref="W15" ca="1">_FV(A15,"P/E",TRUE)</f>
        <v>22.53</v>
      </c>
    </row>
    <row r="16" spans="1:23" x14ac:dyDescent="0.2">
      <c r="A16" t="e" vm="10">
        <v>#VALUE!</v>
      </c>
      <c r="B16" s="2">
        <v>46031</v>
      </c>
      <c r="C16">
        <v>3677.3</v>
      </c>
      <c r="D16" s="51" cm="1">
        <f t="array" aca="1" ref="D16" ca="1">_FV(A16,"Price")</f>
        <v>3658.2</v>
      </c>
      <c r="E16">
        <v>0.27</v>
      </c>
      <c r="F16">
        <v>57.31</v>
      </c>
      <c r="G16">
        <v>-14.87</v>
      </c>
      <c r="H16">
        <v>3699.88</v>
      </c>
      <c r="I16">
        <v>-0.61</v>
      </c>
      <c r="J16">
        <v>0.62</v>
      </c>
      <c r="K16">
        <v>0.18</v>
      </c>
      <c r="L16" t="s">
        <v>20</v>
      </c>
      <c r="M16">
        <v>3662.88</v>
      </c>
      <c r="N16">
        <v>3714.07</v>
      </c>
      <c r="O16">
        <v>3530.21</v>
      </c>
      <c r="P16">
        <v>3861.17</v>
      </c>
      <c r="Q16">
        <v>4045.03</v>
      </c>
      <c r="R16">
        <v>38</v>
      </c>
      <c r="S16" t="s">
        <v>85</v>
      </c>
      <c r="U16">
        <f t="shared" ca="1" si="0"/>
        <v>-55.870000000000346</v>
      </c>
      <c r="V16" s="52">
        <f t="shared" ca="1" si="1"/>
        <v>-1.527253840686686E-2</v>
      </c>
      <c r="W16" s="53" cm="1">
        <f t="array" aca="1" ref="W16" ca="1">_FV(A16,"P/E",TRUE)</f>
        <v>28.62</v>
      </c>
    </row>
    <row r="17" spans="1:23" x14ac:dyDescent="0.2">
      <c r="A17" t="e" vm="14">
        <v>#VALUE!</v>
      </c>
      <c r="B17" s="2">
        <v>46031</v>
      </c>
      <c r="C17">
        <v>16501</v>
      </c>
      <c r="D17" s="51" cm="1">
        <f t="array" aca="1" ref="D17" ca="1">_FV(A17,"Price")</f>
        <v>15859</v>
      </c>
      <c r="E17">
        <v>-0.41</v>
      </c>
      <c r="F17">
        <v>65.11</v>
      </c>
      <c r="G17">
        <v>-49.94</v>
      </c>
      <c r="H17">
        <v>16231.5</v>
      </c>
      <c r="I17">
        <v>1.66</v>
      </c>
      <c r="J17">
        <v>0.77</v>
      </c>
      <c r="K17">
        <v>0.05</v>
      </c>
      <c r="L17" t="s">
        <v>20</v>
      </c>
      <c r="M17">
        <v>16253.48</v>
      </c>
      <c r="N17">
        <v>16666.009999999998</v>
      </c>
      <c r="O17">
        <v>15744.56</v>
      </c>
      <c r="P17">
        <v>17326.05</v>
      </c>
      <c r="Q17">
        <v>18151.099999999999</v>
      </c>
      <c r="R17">
        <v>45</v>
      </c>
      <c r="S17" t="s">
        <v>85</v>
      </c>
      <c r="U17">
        <f t="shared" ca="1" si="0"/>
        <v>-807.0099999999984</v>
      </c>
      <c r="V17" s="52">
        <f t="shared" ca="1" si="1"/>
        <v>-5.088656283498319E-2</v>
      </c>
      <c r="W17" s="53" cm="1">
        <f t="array" aca="1" ref="W17" ca="1">_FV(A17,"P/E",TRUE)</f>
        <v>34.36</v>
      </c>
    </row>
    <row r="18" spans="1:23" x14ac:dyDescent="0.2">
      <c r="A18" t="e" vm="11">
        <v>#VALUE!</v>
      </c>
      <c r="B18" s="2">
        <v>46031</v>
      </c>
      <c r="C18">
        <v>234.09</v>
      </c>
      <c r="D18" s="51" cm="1">
        <f t="array" aca="1" ref="D18" ca="1">_FV(A18,"Price")</f>
        <v>247.17</v>
      </c>
      <c r="E18">
        <v>-0.15</v>
      </c>
      <c r="F18">
        <v>45.96</v>
      </c>
      <c r="G18">
        <v>-0.81</v>
      </c>
      <c r="H18">
        <v>240.62</v>
      </c>
      <c r="I18">
        <v>-2.71</v>
      </c>
      <c r="J18">
        <v>1.52</v>
      </c>
      <c r="K18">
        <v>0.1</v>
      </c>
      <c r="L18" t="s">
        <v>20</v>
      </c>
      <c r="M18">
        <v>238.21</v>
      </c>
      <c r="N18">
        <v>236.43</v>
      </c>
      <c r="O18">
        <v>224.73</v>
      </c>
      <c r="P18">
        <v>245.79</v>
      </c>
      <c r="Q18">
        <v>257.5</v>
      </c>
      <c r="R18">
        <v>30</v>
      </c>
      <c r="S18" t="s">
        <v>85</v>
      </c>
      <c r="U18">
        <f t="shared" ca="1" si="0"/>
        <v>10.739999999999981</v>
      </c>
      <c r="V18" s="52">
        <f t="shared" ca="1" si="1"/>
        <v>4.3451875227576084E-2</v>
      </c>
      <c r="W18" s="53" cm="1">
        <f t="array" aca="1" ref="W18" ca="1">_FV(A18,"P/E",TRUE)</f>
        <v>8.5500000000000007</v>
      </c>
    </row>
    <row r="19" spans="1:23" x14ac:dyDescent="0.2">
      <c r="A19" t="e" vm="4">
        <v>#VALUE!</v>
      </c>
      <c r="B19" s="2">
        <v>46031</v>
      </c>
      <c r="C19">
        <v>258</v>
      </c>
      <c r="D19" s="51" cm="1">
        <f t="array" aca="1" ref="D19" ca="1">_FV(A19,"Price")</f>
        <v>257.3</v>
      </c>
      <c r="E19">
        <v>-0.74</v>
      </c>
      <c r="F19">
        <v>36.979999999999997</v>
      </c>
      <c r="G19">
        <v>-1.25</v>
      </c>
      <c r="H19">
        <v>267.76</v>
      </c>
      <c r="I19">
        <v>-3.65</v>
      </c>
      <c r="J19">
        <v>1.1299999999999999</v>
      </c>
      <c r="K19">
        <v>0.08</v>
      </c>
      <c r="L19" t="s">
        <v>20</v>
      </c>
      <c r="M19">
        <v>265.08</v>
      </c>
      <c r="N19">
        <v>260.58</v>
      </c>
      <c r="O19">
        <v>247.68</v>
      </c>
      <c r="P19">
        <v>270.89999999999998</v>
      </c>
      <c r="Q19">
        <v>283.8</v>
      </c>
      <c r="R19">
        <v>10</v>
      </c>
      <c r="S19" t="s">
        <v>85</v>
      </c>
      <c r="U19">
        <f t="shared" ca="1" si="0"/>
        <v>-3.2799999999999727</v>
      </c>
      <c r="V19" s="52">
        <f t="shared" ca="1" si="1"/>
        <v>-1.2747765254566548E-2</v>
      </c>
      <c r="W19" s="53" cm="1">
        <f t="array" aca="1" ref="W19" ca="1">_FV(A19,"P/E",TRUE)</f>
        <v>15.8</v>
      </c>
    </row>
    <row r="20" spans="1:23" x14ac:dyDescent="0.2">
      <c r="A20" t="e" vm="44">
        <v>#VALUE!</v>
      </c>
      <c r="B20" s="2">
        <v>46031</v>
      </c>
      <c r="C20">
        <v>1475.3</v>
      </c>
      <c r="D20" s="51" cm="1">
        <f t="array" aca="1" ref="D20" ca="1">_FV(A20,"Price")</f>
        <v>1457.9</v>
      </c>
      <c r="E20">
        <v>-0.81</v>
      </c>
      <c r="F20">
        <v>50.36</v>
      </c>
      <c r="G20">
        <v>2.36</v>
      </c>
      <c r="H20">
        <v>1540</v>
      </c>
      <c r="I20">
        <v>-4.2</v>
      </c>
      <c r="J20">
        <v>1.47</v>
      </c>
      <c r="K20">
        <v>0.09</v>
      </c>
      <c r="L20" t="s">
        <v>20</v>
      </c>
      <c r="M20">
        <v>1524.6</v>
      </c>
      <c r="N20">
        <v>1490.05</v>
      </c>
      <c r="O20">
        <v>1416.29</v>
      </c>
      <c r="P20">
        <v>1549.07</v>
      </c>
      <c r="Q20">
        <v>1622.83</v>
      </c>
      <c r="R20">
        <v>35</v>
      </c>
      <c r="S20" t="s">
        <v>85</v>
      </c>
      <c r="U20">
        <f t="shared" ca="1" si="0"/>
        <v>-32.149999999999864</v>
      </c>
      <c r="V20" s="52">
        <f t="shared" ca="1" si="1"/>
        <v>-2.2052266959324961E-2</v>
      </c>
      <c r="W20" s="53" cm="1">
        <f t="array" aca="1" ref="W20" ca="1">_FV(A20,"P/E",TRUE)</f>
        <v>23.76</v>
      </c>
    </row>
    <row r="21" spans="1:23" x14ac:dyDescent="0.2">
      <c r="A21" t="e" vm="80">
        <v>#VALUE!</v>
      </c>
      <c r="B21" s="2">
        <v>46031</v>
      </c>
      <c r="C21">
        <v>1729.9</v>
      </c>
      <c r="D21" s="51" cm="1">
        <f t="array" aca="1" ref="D21" ca="1">_FV(A21,"Price")</f>
        <v>1668.9</v>
      </c>
      <c r="E21">
        <v>-0.13</v>
      </c>
      <c r="F21">
        <v>52.39</v>
      </c>
      <c r="G21">
        <v>2.52</v>
      </c>
      <c r="H21">
        <v>1758.09</v>
      </c>
      <c r="I21">
        <v>-1.6</v>
      </c>
      <c r="J21">
        <v>0.93</v>
      </c>
      <c r="K21">
        <v>0.08</v>
      </c>
      <c r="L21" t="s">
        <v>20</v>
      </c>
      <c r="M21">
        <v>1740.51</v>
      </c>
      <c r="N21">
        <v>1747.2</v>
      </c>
      <c r="O21">
        <v>1660.7</v>
      </c>
      <c r="P21">
        <v>1816.4</v>
      </c>
      <c r="Q21">
        <v>1902.89</v>
      </c>
      <c r="R21">
        <v>40</v>
      </c>
      <c r="S21" t="s">
        <v>85</v>
      </c>
      <c r="U21">
        <f t="shared" ca="1" si="0"/>
        <v>-78.299999999999955</v>
      </c>
      <c r="V21" s="52">
        <f t="shared" ca="1" si="1"/>
        <v>-4.691713104440047E-2</v>
      </c>
      <c r="W21" s="53" cm="1">
        <f t="array" aca="1" ref="W21" ca="1">_FV(A21,"P/E",TRUE)</f>
        <v>39.43</v>
      </c>
    </row>
    <row r="22" spans="1:23" x14ac:dyDescent="0.2">
      <c r="A22" t="e" vm="64">
        <v>#VALUE!</v>
      </c>
      <c r="B22" s="2">
        <v>46031</v>
      </c>
      <c r="C22">
        <v>3207.8</v>
      </c>
      <c r="D22" s="51" cm="1">
        <f t="array" aca="1" ref="D22" ca="1">_FV(A22,"Price")</f>
        <v>3206.7</v>
      </c>
      <c r="E22">
        <v>-0.34</v>
      </c>
      <c r="F22">
        <v>51.04</v>
      </c>
      <c r="G22">
        <v>39.729999999999997</v>
      </c>
      <c r="H22">
        <v>3186.51</v>
      </c>
      <c r="I22">
        <v>0.67</v>
      </c>
      <c r="J22">
        <v>1.01</v>
      </c>
      <c r="K22">
        <v>0.12</v>
      </c>
      <c r="L22" t="s">
        <v>20</v>
      </c>
      <c r="M22">
        <v>3159.68</v>
      </c>
      <c r="N22">
        <v>3239.88</v>
      </c>
      <c r="O22">
        <v>3079.49</v>
      </c>
      <c r="P22">
        <v>3368.19</v>
      </c>
      <c r="Q22">
        <v>3528.58</v>
      </c>
      <c r="R22">
        <v>65</v>
      </c>
      <c r="S22" t="s">
        <v>85</v>
      </c>
      <c r="U22">
        <f t="shared" ca="1" si="0"/>
        <v>-33.180000000000291</v>
      </c>
      <c r="V22" s="52">
        <f t="shared" ca="1" si="1"/>
        <v>-1.0347085789129103E-2</v>
      </c>
      <c r="W22" s="53" cm="1">
        <f t="array" aca="1" ref="W22" ca="1">_FV(A22,"P/E",TRUE)</f>
        <v>24.21</v>
      </c>
    </row>
    <row r="23" spans="1:23" hidden="1" x14ac:dyDescent="0.2">
      <c r="A23" t="e" vm="24">
        <v>#VALUE!</v>
      </c>
      <c r="B23" s="2">
        <v>46031</v>
      </c>
      <c r="C23">
        <v>5093</v>
      </c>
      <c r="D23" s="51" cm="1">
        <f t="array" aca="1" ref="D23" ca="1">_FV(A23,"Price")</f>
        <v>4872.5</v>
      </c>
      <c r="E23">
        <v>-1.49</v>
      </c>
      <c r="F23">
        <v>42.48</v>
      </c>
      <c r="G23">
        <v>29.47</v>
      </c>
      <c r="H23">
        <v>5134.6000000000004</v>
      </c>
      <c r="I23">
        <v>-0.81</v>
      </c>
      <c r="J23">
        <v>1.33</v>
      </c>
      <c r="K23">
        <v>0.15</v>
      </c>
      <c r="L23" t="s">
        <v>20</v>
      </c>
      <c r="M23">
        <v>5083.25</v>
      </c>
      <c r="N23">
        <v>5143.93</v>
      </c>
      <c r="O23">
        <v>4889.28</v>
      </c>
      <c r="P23">
        <v>5347.65</v>
      </c>
      <c r="Q23">
        <v>5602.3</v>
      </c>
      <c r="R23">
        <v>60</v>
      </c>
      <c r="S23" t="s">
        <v>85</v>
      </c>
      <c r="U23">
        <f t="shared" ca="1" si="0"/>
        <v>-271.43000000000029</v>
      </c>
      <c r="V23" s="52">
        <f t="shared" ca="1" si="1"/>
        <v>-5.5706516162134491E-2</v>
      </c>
      <c r="W23" s="53" cm="1">
        <f t="array" aca="1" ref="W23" ca="1">_FV(A23,"P/E",TRUE)</f>
        <v>59.19</v>
      </c>
    </row>
    <row r="24" spans="1:23" hidden="1" x14ac:dyDescent="0.2">
      <c r="A24" t="e" vm="45">
        <v>#VALUE!</v>
      </c>
      <c r="B24" s="2">
        <v>46031</v>
      </c>
      <c r="C24">
        <v>960.6</v>
      </c>
      <c r="D24" s="51" cm="1">
        <f t="array" aca="1" ref="D24" ca="1">_FV(A24,"Price")</f>
        <v>908.7</v>
      </c>
      <c r="E24">
        <v>-1.46</v>
      </c>
      <c r="F24">
        <v>52.56</v>
      </c>
      <c r="G24">
        <v>3.29</v>
      </c>
      <c r="H24">
        <v>996.6</v>
      </c>
      <c r="I24">
        <v>-3.61</v>
      </c>
      <c r="J24">
        <v>0.6</v>
      </c>
      <c r="K24">
        <v>0.15</v>
      </c>
      <c r="L24" t="s">
        <v>20</v>
      </c>
      <c r="M24">
        <v>986.63</v>
      </c>
      <c r="N24">
        <v>970.21</v>
      </c>
      <c r="O24">
        <v>922.18</v>
      </c>
      <c r="P24">
        <v>1008.63</v>
      </c>
      <c r="Q24">
        <v>1056.6600000000001</v>
      </c>
      <c r="R24">
        <v>20</v>
      </c>
      <c r="S24" t="s">
        <v>85</v>
      </c>
      <c r="U24">
        <f t="shared" ca="1" si="0"/>
        <v>-61.509999999999991</v>
      </c>
      <c r="V24" s="52">
        <f t="shared" ca="1" si="1"/>
        <v>-6.769010674590073E-2</v>
      </c>
      <c r="W24" s="53" cm="1">
        <f t="array" aca="1" ref="W24" ca="1">_FV(A24,"P/E",TRUE)</f>
        <v>44.54</v>
      </c>
    </row>
    <row r="25" spans="1:23" x14ac:dyDescent="0.2">
      <c r="A25" t="e" vm="9">
        <v>#VALUE!</v>
      </c>
      <c r="B25" s="2">
        <v>46031</v>
      </c>
      <c r="C25">
        <v>141.68</v>
      </c>
      <c r="D25" s="51" cm="1">
        <f t="array" aca="1" ref="D25" ca="1">_FV(A25,"Price")</f>
        <v>142.63</v>
      </c>
      <c r="E25">
        <v>-0.2</v>
      </c>
      <c r="F25">
        <v>52.65</v>
      </c>
      <c r="G25">
        <v>-2.19</v>
      </c>
      <c r="H25">
        <v>146.41</v>
      </c>
      <c r="I25">
        <v>-3.23</v>
      </c>
      <c r="J25">
        <v>0.28999999999999998</v>
      </c>
      <c r="K25">
        <v>0.16</v>
      </c>
      <c r="L25" t="s">
        <v>20</v>
      </c>
      <c r="M25">
        <v>144.94</v>
      </c>
      <c r="N25">
        <v>143.1</v>
      </c>
      <c r="O25">
        <v>136.01</v>
      </c>
      <c r="P25">
        <v>148.76</v>
      </c>
      <c r="Q25">
        <v>155.85</v>
      </c>
      <c r="R25">
        <v>10</v>
      </c>
      <c r="S25" t="s">
        <v>85</v>
      </c>
      <c r="U25">
        <f t="shared" ca="1" si="0"/>
        <v>-0.46999999999999886</v>
      </c>
      <c r="V25" s="52">
        <f t="shared" ca="1" si="1"/>
        <v>-3.2952394306947968E-3</v>
      </c>
      <c r="W25" s="53" cm="1">
        <f t="array" aca="1" ref="W25" ca="1">_FV(A25,"P/E",TRUE)</f>
        <v>22.53</v>
      </c>
    </row>
    <row r="26" spans="1:23" x14ac:dyDescent="0.2">
      <c r="A26" t="e" vm="39">
        <v>#VALUE!</v>
      </c>
      <c r="B26" s="2">
        <v>46031</v>
      </c>
      <c r="C26">
        <v>1198.7</v>
      </c>
      <c r="D26" s="51" cm="1">
        <f t="array" aca="1" ref="D26" ca="1">_FV(A26,"Price")</f>
        <v>1172.7</v>
      </c>
      <c r="E26">
        <v>-0.96</v>
      </c>
      <c r="F26">
        <v>54.86</v>
      </c>
      <c r="G26">
        <v>8.67</v>
      </c>
      <c r="H26">
        <v>1203.7</v>
      </c>
      <c r="I26">
        <v>-0.42</v>
      </c>
      <c r="J26">
        <v>1.18</v>
      </c>
      <c r="K26">
        <v>0.06</v>
      </c>
      <c r="L26" t="s">
        <v>20</v>
      </c>
      <c r="M26">
        <v>1191.6600000000001</v>
      </c>
      <c r="N26">
        <v>1210.69</v>
      </c>
      <c r="O26">
        <v>1150.75</v>
      </c>
      <c r="P26">
        <v>1258.6300000000001</v>
      </c>
      <c r="Q26">
        <v>1318.57</v>
      </c>
      <c r="R26">
        <v>58</v>
      </c>
      <c r="S26" t="s">
        <v>85</v>
      </c>
      <c r="U26">
        <f t="shared" ca="1" si="0"/>
        <v>-37.990000000000009</v>
      </c>
      <c r="V26" s="52">
        <f t="shared" ca="1" si="1"/>
        <v>-3.2395327023109072E-2</v>
      </c>
      <c r="W26" s="53" cm="1">
        <f t="array" aca="1" ref="W26" ca="1">_FV(A26,"P/E",TRUE)</f>
        <v>20.03</v>
      </c>
    </row>
    <row r="27" spans="1:23" x14ac:dyDescent="0.2">
      <c r="A27" t="e" vm="6">
        <v>#VALUE!</v>
      </c>
      <c r="B27" s="2">
        <v>46031</v>
      </c>
      <c r="C27">
        <v>1896.1</v>
      </c>
      <c r="D27" s="51" cm="1">
        <f t="array" aca="1" ref="D27" ca="1">_FV(A27,"Price")</f>
        <v>1870.2</v>
      </c>
      <c r="E27">
        <v>0.66</v>
      </c>
      <c r="F27">
        <v>45.68</v>
      </c>
      <c r="G27">
        <v>-7.49</v>
      </c>
      <c r="H27">
        <v>1968.65</v>
      </c>
      <c r="I27">
        <v>-3.69</v>
      </c>
      <c r="J27">
        <v>0.81</v>
      </c>
      <c r="K27">
        <v>0.05</v>
      </c>
      <c r="L27" t="s">
        <v>20</v>
      </c>
      <c r="M27">
        <v>1948.96</v>
      </c>
      <c r="N27">
        <v>1915.06</v>
      </c>
      <c r="O27">
        <v>1820.26</v>
      </c>
      <c r="P27">
        <v>1990.9</v>
      </c>
      <c r="Q27">
        <v>2085.71</v>
      </c>
      <c r="R27">
        <v>10</v>
      </c>
      <c r="S27" t="s">
        <v>85</v>
      </c>
      <c r="U27">
        <f t="shared" ca="1" si="0"/>
        <v>-44.8599999999999</v>
      </c>
      <c r="V27" s="52">
        <f t="shared" ca="1" si="1"/>
        <v>-2.3986739386161852E-2</v>
      </c>
      <c r="W27" s="53" cm="1">
        <f t="array" aca="1" ref="W27" ca="1">_FV(A27,"P/E",TRUE)</f>
        <v>33.64</v>
      </c>
    </row>
    <row r="28" spans="1:23" x14ac:dyDescent="0.2">
      <c r="A28" t="e" vm="36">
        <v>#VALUE!</v>
      </c>
      <c r="B28" s="2">
        <v>46031</v>
      </c>
      <c r="C28">
        <v>637.65</v>
      </c>
      <c r="D28" s="51" cm="1">
        <f t="array" aca="1" ref="D28" ca="1">_FV(A28,"Price")</f>
        <v>627.65</v>
      </c>
      <c r="E28">
        <v>-0.42</v>
      </c>
      <c r="F28">
        <v>33.35</v>
      </c>
      <c r="G28">
        <v>-1.89</v>
      </c>
      <c r="H28">
        <v>683.8</v>
      </c>
      <c r="I28">
        <v>-6.75</v>
      </c>
      <c r="J28">
        <v>2.08</v>
      </c>
      <c r="K28">
        <v>0.15</v>
      </c>
      <c r="L28" t="s">
        <v>20</v>
      </c>
      <c r="M28">
        <v>676.96</v>
      </c>
      <c r="N28">
        <v>644.03</v>
      </c>
      <c r="O28">
        <v>612.14</v>
      </c>
      <c r="P28">
        <v>669.53</v>
      </c>
      <c r="Q28">
        <v>701.42</v>
      </c>
      <c r="R28">
        <v>20</v>
      </c>
      <c r="S28" t="s">
        <v>85</v>
      </c>
      <c r="U28">
        <f t="shared" ca="1" si="0"/>
        <v>-16.379999999999995</v>
      </c>
      <c r="V28" s="52">
        <f t="shared" ca="1" si="1"/>
        <v>-2.6097347247669874E-2</v>
      </c>
      <c r="W28" s="53" cm="1">
        <f t="array" aca="1" ref="W28" ca="1">_FV(A28,"P/E",TRUE)</f>
        <v>36.590000000000003</v>
      </c>
    </row>
    <row r="29" spans="1:23" x14ac:dyDescent="0.2">
      <c r="A29" t="e" vm="81">
        <v>#VALUE!</v>
      </c>
      <c r="B29" s="2">
        <v>46031</v>
      </c>
      <c r="C29">
        <v>4355.3999999999996</v>
      </c>
      <c r="D29" s="51" cm="1">
        <f t="array" aca="1" ref="D29" ca="1">_FV(A29,"Price")</f>
        <v>3917.1</v>
      </c>
      <c r="E29">
        <v>-0.71</v>
      </c>
      <c r="F29">
        <v>50.06</v>
      </c>
      <c r="G29">
        <v>33.64</v>
      </c>
      <c r="H29">
        <v>4389.9399999999996</v>
      </c>
      <c r="I29">
        <v>-0.79</v>
      </c>
      <c r="J29">
        <v>1.02</v>
      </c>
      <c r="K29">
        <v>7.0000000000000007E-2</v>
      </c>
      <c r="L29" t="s">
        <v>20</v>
      </c>
      <c r="M29">
        <v>4346.04</v>
      </c>
      <c r="N29">
        <v>4398.95</v>
      </c>
      <c r="O29">
        <v>4181.18</v>
      </c>
      <c r="P29">
        <v>4573.17</v>
      </c>
      <c r="Q29">
        <v>4790.9399999999996</v>
      </c>
      <c r="R29">
        <v>65</v>
      </c>
      <c r="S29" t="s">
        <v>85</v>
      </c>
      <c r="U29">
        <f t="shared" ca="1" si="0"/>
        <v>-481.84999999999991</v>
      </c>
      <c r="V29" s="52">
        <f t="shared" ca="1" si="1"/>
        <v>-0.12301192208521608</v>
      </c>
      <c r="W29" s="53" cm="1">
        <f t="array" aca="1" ref="W29" ca="1">_FV(A29,"P/E",TRUE)</f>
        <v>35.729999999999997</v>
      </c>
    </row>
    <row r="30" spans="1:23" hidden="1" x14ac:dyDescent="0.2">
      <c r="A30" t="e" vm="18">
        <v>#VALUE!</v>
      </c>
      <c r="B30" s="2">
        <v>46031</v>
      </c>
      <c r="C30">
        <v>1320.3</v>
      </c>
      <c r="D30" s="51" cm="1">
        <f t="array" aca="1" ref="D30" ca="1">_FV(A30,"Price")</f>
        <v>1329.1</v>
      </c>
      <c r="E30">
        <v>-0.17</v>
      </c>
      <c r="F30">
        <v>44.1</v>
      </c>
      <c r="G30">
        <v>3.13</v>
      </c>
      <c r="H30">
        <v>1349.58</v>
      </c>
      <c r="I30">
        <v>-2.17</v>
      </c>
      <c r="J30">
        <v>1.17</v>
      </c>
      <c r="K30">
        <v>7.0000000000000007E-2</v>
      </c>
      <c r="L30" t="s">
        <v>20</v>
      </c>
      <c r="M30">
        <v>1336.09</v>
      </c>
      <c r="N30">
        <v>1333.5</v>
      </c>
      <c r="O30">
        <v>1267.49</v>
      </c>
      <c r="P30">
        <v>1386.32</v>
      </c>
      <c r="Q30">
        <v>1452.33</v>
      </c>
      <c r="R30">
        <v>20</v>
      </c>
      <c r="S30" t="s">
        <v>85</v>
      </c>
      <c r="U30">
        <f t="shared" ca="1" si="0"/>
        <v>-4.4000000000000909</v>
      </c>
      <c r="V30" s="52">
        <f t="shared" ca="1" si="1"/>
        <v>-3.3105108720187281E-3</v>
      </c>
      <c r="W30" s="53" cm="1">
        <f t="array" aca="1" ref="W30" ca="1">_FV(A30,"P/E",TRUE)</f>
        <v>64.14</v>
      </c>
    </row>
    <row r="31" spans="1:23" x14ac:dyDescent="0.2">
      <c r="A31" t="e" vm="16">
        <v>#VALUE!</v>
      </c>
      <c r="B31" s="2">
        <v>46031</v>
      </c>
      <c r="C31">
        <v>358.9</v>
      </c>
      <c r="D31" s="51" cm="1">
        <f t="array" aca="1" ref="D31" ca="1">_FV(A31,"Price")</f>
        <v>375.35</v>
      </c>
      <c r="E31">
        <v>-0.08</v>
      </c>
      <c r="F31">
        <v>43.42</v>
      </c>
      <c r="G31">
        <v>-1.36</v>
      </c>
      <c r="H31">
        <v>360.09</v>
      </c>
      <c r="I31">
        <v>-0.33</v>
      </c>
      <c r="J31">
        <v>1.25</v>
      </c>
      <c r="K31">
        <v>0.11</v>
      </c>
      <c r="L31" t="s">
        <v>20</v>
      </c>
      <c r="M31">
        <v>356.49</v>
      </c>
      <c r="N31">
        <v>362.49</v>
      </c>
      <c r="O31">
        <v>344.54</v>
      </c>
      <c r="P31">
        <v>376.84</v>
      </c>
      <c r="Q31">
        <v>394.79</v>
      </c>
      <c r="R31">
        <v>30</v>
      </c>
      <c r="S31" t="s">
        <v>85</v>
      </c>
      <c r="U31">
        <f t="shared" ca="1" si="0"/>
        <v>12.860000000000014</v>
      </c>
      <c r="V31" s="52">
        <f t="shared" ca="1" si="1"/>
        <v>3.4261356067670209E-2</v>
      </c>
      <c r="W31" s="53" cm="1">
        <f t="array" aca="1" ref="W31" ca="1">_FV(A31,"P/E",TRUE)</f>
        <v>4.96</v>
      </c>
    </row>
    <row r="32" spans="1:23" x14ac:dyDescent="0.2">
      <c r="A32" t="e" vm="48">
        <v>#VALUE!</v>
      </c>
      <c r="B32" s="2">
        <v>46031</v>
      </c>
      <c r="C32">
        <v>122.9</v>
      </c>
      <c r="D32" s="51" cm="1">
        <f t="array" aca="1" ref="D32" ca="1">_FV(A32,"Price")</f>
        <v>132.36000000000001</v>
      </c>
      <c r="E32">
        <v>-0.4</v>
      </c>
      <c r="F32">
        <v>59.93</v>
      </c>
      <c r="G32">
        <v>-0.05</v>
      </c>
      <c r="H32">
        <v>121.94</v>
      </c>
      <c r="I32">
        <v>0.79</v>
      </c>
      <c r="J32">
        <v>0.85</v>
      </c>
      <c r="K32">
        <v>0.18</v>
      </c>
      <c r="L32" t="s">
        <v>20</v>
      </c>
      <c r="M32">
        <v>121.06</v>
      </c>
      <c r="N32">
        <v>124.13</v>
      </c>
      <c r="O32">
        <v>117.98</v>
      </c>
      <c r="P32">
        <v>129.05000000000001</v>
      </c>
      <c r="Q32">
        <v>135.19</v>
      </c>
      <c r="R32">
        <v>38</v>
      </c>
      <c r="S32" t="s">
        <v>85</v>
      </c>
      <c r="U32">
        <f t="shared" ca="1" si="0"/>
        <v>8.2300000000000182</v>
      </c>
      <c r="V32" s="52">
        <f t="shared" ca="1" si="1"/>
        <v>6.2178906013901615E-2</v>
      </c>
      <c r="W32" s="53" cm="1">
        <f t="array" aca="1" ref="W32" ca="1">_FV(A32,"P/E",TRUE)</f>
        <v>8.68</v>
      </c>
    </row>
    <row r="33" spans="1:23" hidden="1" x14ac:dyDescent="0.2">
      <c r="A33" t="e" vm="82">
        <v>#VALUE!</v>
      </c>
      <c r="B33" s="2">
        <v>46031</v>
      </c>
      <c r="C33">
        <v>26950</v>
      </c>
      <c r="D33" s="51" cm="1">
        <f t="array" aca="1" ref="D33" ca="1">_FV(A33,"Price")</f>
        <v>27840</v>
      </c>
      <c r="E33">
        <v>-0.61</v>
      </c>
      <c r="F33">
        <v>42.79</v>
      </c>
      <c r="G33">
        <v>-111.22</v>
      </c>
      <c r="H33">
        <v>26533</v>
      </c>
      <c r="I33">
        <v>1.57</v>
      </c>
      <c r="J33">
        <v>0.89</v>
      </c>
      <c r="K33">
        <v>0.04</v>
      </c>
      <c r="L33" t="s">
        <v>20</v>
      </c>
      <c r="M33">
        <v>26545.75</v>
      </c>
      <c r="N33">
        <v>27219.5</v>
      </c>
      <c r="O33">
        <v>25737.01</v>
      </c>
      <c r="P33">
        <v>28297.5</v>
      </c>
      <c r="Q33">
        <v>29645</v>
      </c>
      <c r="R33">
        <v>20</v>
      </c>
      <c r="S33" t="s">
        <v>85</v>
      </c>
      <c r="U33">
        <f t="shared" ca="1" si="0"/>
        <v>620.5</v>
      </c>
      <c r="V33" s="52">
        <f t="shared" ca="1" si="1"/>
        <v>2.2288074712643678E-2</v>
      </c>
      <c r="W33" s="53" cm="1">
        <f t="array" aca="1" ref="W33" ca="1">_FV(A33,"P/E",TRUE)</f>
        <v>57.83</v>
      </c>
    </row>
    <row r="34" spans="1:23" hidden="1" x14ac:dyDescent="0.2">
      <c r="A34" t="e" vm="56">
        <v>#VALUE!</v>
      </c>
      <c r="B34" s="2">
        <v>46031</v>
      </c>
      <c r="C34">
        <v>3023.2</v>
      </c>
      <c r="D34" s="51" cm="1">
        <f t="array" aca="1" ref="D34" ca="1">_FV(A34,"Price")</f>
        <v>3027.4</v>
      </c>
      <c r="E34">
        <v>-0.04</v>
      </c>
      <c r="F34">
        <v>53.14</v>
      </c>
      <c r="G34">
        <v>9.3000000000000007</v>
      </c>
      <c r="H34">
        <v>2968.52</v>
      </c>
      <c r="I34">
        <v>1.84</v>
      </c>
      <c r="J34">
        <v>0.84</v>
      </c>
      <c r="K34">
        <v>0.06</v>
      </c>
      <c r="L34" t="s">
        <v>20</v>
      </c>
      <c r="M34">
        <v>2977.85</v>
      </c>
      <c r="N34">
        <v>3053.43</v>
      </c>
      <c r="O34">
        <v>2879.46</v>
      </c>
      <c r="P34">
        <v>3174.36</v>
      </c>
      <c r="Q34">
        <v>3325.52</v>
      </c>
      <c r="R34">
        <v>48</v>
      </c>
      <c r="S34" t="s">
        <v>85</v>
      </c>
      <c r="U34">
        <f t="shared" ca="1" si="0"/>
        <v>-26.029999999999745</v>
      </c>
      <c r="V34" s="52">
        <f t="shared" ca="1" si="1"/>
        <v>-8.5981370152605346E-3</v>
      </c>
      <c r="W34" s="53" cm="1">
        <f t="array" aca="1" ref="W34" ca="1">_FV(A34,"P/E",TRUE)</f>
        <v>55.56</v>
      </c>
    </row>
    <row r="35" spans="1:23" hidden="1" x14ac:dyDescent="0.2">
      <c r="A35" t="e" vm="19">
        <v>#VALUE!</v>
      </c>
      <c r="B35" s="2">
        <v>46031</v>
      </c>
      <c r="C35">
        <v>3759.2</v>
      </c>
      <c r="D35" s="51" cm="1">
        <f t="array" aca="1" ref="D35" ca="1">_FV(A35,"Price")</f>
        <v>3667.8</v>
      </c>
      <c r="E35">
        <v>-0.97</v>
      </c>
      <c r="F35">
        <v>66.66</v>
      </c>
      <c r="G35">
        <v>-0.65</v>
      </c>
      <c r="H35">
        <v>3604.44</v>
      </c>
      <c r="I35">
        <v>4.29</v>
      </c>
      <c r="J35">
        <v>0.64</v>
      </c>
      <c r="K35">
        <v>0.11</v>
      </c>
      <c r="L35" t="s">
        <v>20</v>
      </c>
      <c r="M35">
        <v>3702.81</v>
      </c>
      <c r="N35">
        <v>3796.79</v>
      </c>
      <c r="O35">
        <v>3496.31</v>
      </c>
      <c r="P35">
        <v>3947.16</v>
      </c>
      <c r="Q35">
        <v>4135.12</v>
      </c>
      <c r="R35">
        <v>40</v>
      </c>
      <c r="S35" t="s">
        <v>85</v>
      </c>
      <c r="U35">
        <f t="shared" ca="1" si="0"/>
        <v>-128.98999999999978</v>
      </c>
      <c r="V35" s="52">
        <f t="shared" ca="1" si="1"/>
        <v>-3.5168220731773753E-2</v>
      </c>
      <c r="W35" s="53" cm="1">
        <f t="array" aca="1" ref="W35" ca="1">_FV(A35,"P/E",TRUE)</f>
        <v>67.709999999999994</v>
      </c>
    </row>
    <row r="36" spans="1:23" hidden="1" x14ac:dyDescent="0.2">
      <c r="A36" t="e" vm="83">
        <v>#VALUE!</v>
      </c>
      <c r="B36" s="2">
        <v>46031</v>
      </c>
      <c r="C36">
        <v>1546.8</v>
      </c>
      <c r="D36" s="51" cm="1">
        <f t="array" aca="1" ref="D36" ca="1">_FV(A36,"Price")</f>
        <v>1520.3</v>
      </c>
      <c r="E36">
        <v>-2.62</v>
      </c>
      <c r="F36">
        <v>25.13</v>
      </c>
      <c r="G36">
        <v>-15.74</v>
      </c>
      <c r="H36">
        <v>1671.21</v>
      </c>
      <c r="I36">
        <v>-7.44</v>
      </c>
      <c r="J36">
        <v>0.41</v>
      </c>
      <c r="K36">
        <v>0.52</v>
      </c>
      <c r="L36" t="s">
        <v>20</v>
      </c>
      <c r="M36">
        <v>1654.5</v>
      </c>
      <c r="N36">
        <v>1562.27</v>
      </c>
      <c r="O36">
        <v>1484.93</v>
      </c>
      <c r="P36">
        <v>1624.14</v>
      </c>
      <c r="Q36">
        <v>1701.48</v>
      </c>
      <c r="R36">
        <v>0</v>
      </c>
      <c r="S36" t="s">
        <v>85</v>
      </c>
      <c r="U36">
        <f t="shared" ca="1" si="0"/>
        <v>-41.970000000000027</v>
      </c>
      <c r="V36" s="52">
        <f t="shared" ca="1" si="1"/>
        <v>-2.7606393474972065E-2</v>
      </c>
      <c r="W36" s="53" cm="1">
        <f t="array" aca="1" ref="W36" ca="1">_FV(A36,"P/E",TRUE)</f>
        <v>109.68</v>
      </c>
    </row>
    <row r="37" spans="1:23" x14ac:dyDescent="0.2">
      <c r="A37" t="e" vm="84">
        <v>#VALUE!</v>
      </c>
      <c r="B37" s="2">
        <v>46031</v>
      </c>
      <c r="C37">
        <v>91.01</v>
      </c>
      <c r="D37" s="51" cm="1">
        <f t="array" aca="1" ref="D37" ca="1">_FV(A37,"Price")</f>
        <v>89.5</v>
      </c>
      <c r="E37">
        <v>-0.69</v>
      </c>
      <c r="F37">
        <v>33.36</v>
      </c>
      <c r="G37">
        <v>-1.1399999999999999</v>
      </c>
      <c r="H37">
        <v>95.44</v>
      </c>
      <c r="I37">
        <v>-4.6399999999999997</v>
      </c>
      <c r="J37">
        <v>1.03</v>
      </c>
      <c r="K37">
        <v>0.19</v>
      </c>
      <c r="L37" t="s">
        <v>20</v>
      </c>
      <c r="M37">
        <v>94.48</v>
      </c>
      <c r="N37">
        <v>91.92</v>
      </c>
      <c r="O37">
        <v>87.37</v>
      </c>
      <c r="P37">
        <v>95.56</v>
      </c>
      <c r="Q37">
        <v>100.11</v>
      </c>
      <c r="R37">
        <v>10</v>
      </c>
      <c r="S37" t="s">
        <v>85</v>
      </c>
      <c r="U37">
        <f t="shared" ca="1" si="0"/>
        <v>-2.4200000000000017</v>
      </c>
      <c r="V37" s="52">
        <f t="shared" ca="1" si="1"/>
        <v>-2.7039106145251415E-2</v>
      </c>
      <c r="W37" s="53" cm="1">
        <f t="array" aca="1" ref="W37" ca="1">_FV(A37,"P/E",TRUE)</f>
        <v>15.16</v>
      </c>
    </row>
    <row r="38" spans="1:23" x14ac:dyDescent="0.2">
      <c r="A38" t="e" vm="85">
        <v>#VALUE!</v>
      </c>
      <c r="B38" s="2">
        <v>46031</v>
      </c>
      <c r="C38">
        <v>894.9</v>
      </c>
      <c r="D38" s="51" cm="1">
        <f t="array" aca="1" ref="D38" ca="1">_FV(A38,"Price")</f>
        <v>868.1</v>
      </c>
      <c r="E38">
        <v>-1.08</v>
      </c>
      <c r="F38">
        <v>37.840000000000003</v>
      </c>
      <c r="G38">
        <v>-9.1</v>
      </c>
      <c r="H38">
        <v>925.89</v>
      </c>
      <c r="I38">
        <v>-3.35</v>
      </c>
      <c r="J38">
        <v>0.62</v>
      </c>
      <c r="K38">
        <v>0.15</v>
      </c>
      <c r="L38" t="s">
        <v>20</v>
      </c>
      <c r="M38">
        <v>916.63</v>
      </c>
      <c r="N38">
        <v>903.85</v>
      </c>
      <c r="O38">
        <v>859.1</v>
      </c>
      <c r="P38">
        <v>939.65</v>
      </c>
      <c r="Q38">
        <v>984.39</v>
      </c>
      <c r="R38">
        <v>0</v>
      </c>
      <c r="S38" t="s">
        <v>85</v>
      </c>
      <c r="U38">
        <f t="shared" ca="1" si="0"/>
        <v>-35.75</v>
      </c>
      <c r="V38" s="52">
        <f t="shared" ca="1" si="1"/>
        <v>-4.1181891487155856E-2</v>
      </c>
      <c r="W38" s="53" cm="1">
        <f t="array" aca="1" ref="W38" ca="1">_FV(A38,"P/E",TRUE)</f>
        <v>18.07</v>
      </c>
    </row>
    <row r="39" spans="1:23" x14ac:dyDescent="0.2">
      <c r="A39" t="e" vm="63">
        <v>#VALUE!</v>
      </c>
      <c r="B39" s="2">
        <v>46031</v>
      </c>
      <c r="C39">
        <v>4844</v>
      </c>
      <c r="D39" s="51" cm="1">
        <f t="array" aca="1" ref="D39" ca="1">_FV(A39,"Price")</f>
        <v>4740</v>
      </c>
      <c r="E39">
        <v>-0.27</v>
      </c>
      <c r="F39">
        <v>37.25</v>
      </c>
      <c r="G39">
        <v>-117.13</v>
      </c>
      <c r="H39">
        <v>5364.55</v>
      </c>
      <c r="I39">
        <v>-9.6999999999999993</v>
      </c>
      <c r="J39">
        <v>0.61</v>
      </c>
      <c r="K39">
        <v>0.13</v>
      </c>
      <c r="L39" t="s">
        <v>20</v>
      </c>
      <c r="M39">
        <v>5310.9</v>
      </c>
      <c r="N39">
        <v>4892.4399999999996</v>
      </c>
      <c r="O39">
        <v>4650.24</v>
      </c>
      <c r="P39">
        <v>5086.2</v>
      </c>
      <c r="Q39">
        <v>5328.4</v>
      </c>
      <c r="R39">
        <v>0</v>
      </c>
      <c r="S39" t="s">
        <v>85</v>
      </c>
      <c r="U39">
        <f t="shared" ca="1" si="0"/>
        <v>-152.4399999999996</v>
      </c>
      <c r="V39" s="52">
        <f t="shared" ca="1" si="1"/>
        <v>-3.2160337552742529E-2</v>
      </c>
      <c r="W39" s="53" cm="1">
        <f t="array" aca="1" ref="W39" ca="1">_FV(A39,"P/E",TRUE)</f>
        <v>35.78</v>
      </c>
    </row>
    <row r="40" spans="1:23" hidden="1" x14ac:dyDescent="0.2">
      <c r="A40" t="e" vm="61">
        <v>#VALUE!</v>
      </c>
      <c r="B40" s="2">
        <v>46031</v>
      </c>
      <c r="C40">
        <v>3659.5</v>
      </c>
      <c r="D40" s="51" cm="1">
        <f t="array" aca="1" ref="D40" ca="1">_FV(A40,"Price")</f>
        <v>3612.2</v>
      </c>
      <c r="E40">
        <v>-0.83</v>
      </c>
      <c r="F40">
        <v>24.45</v>
      </c>
      <c r="G40">
        <v>-336.38</v>
      </c>
      <c r="H40">
        <v>4843.17</v>
      </c>
      <c r="I40">
        <v>-24.44</v>
      </c>
      <c r="J40">
        <v>1.55</v>
      </c>
      <c r="K40">
        <v>0.28000000000000003</v>
      </c>
      <c r="L40" t="s">
        <v>20</v>
      </c>
      <c r="M40">
        <v>4794.74</v>
      </c>
      <c r="N40">
        <v>3696.1</v>
      </c>
      <c r="O40">
        <v>3513.12</v>
      </c>
      <c r="P40">
        <v>3842.48</v>
      </c>
      <c r="Q40">
        <v>4025.45</v>
      </c>
      <c r="R40">
        <v>20</v>
      </c>
      <c r="S40" t="s">
        <v>85</v>
      </c>
      <c r="U40">
        <f t="shared" ca="1" si="0"/>
        <v>-83.900000000000091</v>
      </c>
      <c r="V40" s="52">
        <f t="shared" ca="1" si="1"/>
        <v>-2.3226842367532276E-2</v>
      </c>
      <c r="W40" s="53" cm="1">
        <f t="array" aca="1" ref="W40" ca="1">_FV(A40,"P/E",TRUE)</f>
        <v>62.62</v>
      </c>
    </row>
  </sheetData>
  <autoFilter ref="A1:W40" xr:uid="{745FA8B8-1516-8544-BCAA-D7811956D0FD}">
    <filterColumn colId="22">
      <customFilters>
        <customFilter operator="lessThan" val="45"/>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BUY</vt:lpstr>
      <vt:lpstr>WAIT</vt:lpstr>
      <vt:lpstr>AVOID</vt:lpstr>
      <vt:lpstr>Signals_Mon5_1_26</vt:lpstr>
      <vt:lpstr>Signals_Wed_evening</vt:lpstr>
      <vt:lpstr>Signals_Friday_morning</vt:lpstr>
      <vt:lpstr>Postions</vt:lpstr>
      <vt:lpstr>BUY_week2</vt:lpstr>
      <vt:lpstr>WAIT week2</vt:lpstr>
      <vt:lpstr>AVOID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Sanjay Madhwal</cp:lastModifiedBy>
  <dcterms:created xsi:type="dcterms:W3CDTF">2026-01-04T04:55:47Z</dcterms:created>
  <dcterms:modified xsi:type="dcterms:W3CDTF">2026-01-17T12:56:12Z</dcterms:modified>
</cp:coreProperties>
</file>