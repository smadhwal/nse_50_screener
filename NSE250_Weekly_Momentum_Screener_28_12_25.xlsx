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smadhwalgmail.com/Sanjay/Projects/nse_screener/"/>
    </mc:Choice>
  </mc:AlternateContent>
  <xr:revisionPtr revIDLastSave="0" documentId="13_ncr:1_{A6F62223-EE45-EB46-B347-3F4407563C20}" xr6:coauthVersionLast="47" xr6:coauthVersionMax="47" xr10:uidLastSave="{00000000-0000-0000-0000-000000000000}"/>
  <bookViews>
    <workbookView xWindow="0" yWindow="660" windowWidth="29400" windowHeight="18460" xr2:uid="{00000000-000D-0000-FFFF-FFFF00000000}"/>
  </bookViews>
  <sheets>
    <sheet name="Top 20 Momentum" sheetId="1" r:id="rId1"/>
    <sheet name="Confirmed Momentum" sheetId="2" r:id="rId2"/>
    <sheet name="Early Momentum" sheetId="3" r:id="rId3"/>
    <sheet name="No Signal"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6" i="2" l="1" a="1"/>
  <c r="W36" i="2" s="1"/>
  <c r="X36" i="2" s="1"/>
  <c r="Y36" i="2" s="1"/>
  <c r="W35" i="2" a="1"/>
  <c r="W35" i="2" s="1"/>
  <c r="X35" i="2" s="1"/>
  <c r="Y35" i="2" s="1"/>
  <c r="W34" i="2" a="1"/>
  <c r="W34" i="2" s="1"/>
  <c r="X34" i="2" s="1"/>
  <c r="Y34" i="2" s="1"/>
  <c r="W33" i="2" a="1"/>
  <c r="W33" i="2" s="1"/>
  <c r="X33" i="2" s="1"/>
  <c r="Y33" i="2" s="1"/>
  <c r="W32" i="2" a="1"/>
  <c r="W32" i="2" s="1"/>
  <c r="X32" i="2" s="1"/>
  <c r="Y32" i="2" s="1"/>
  <c r="W31" i="2" a="1"/>
  <c r="W31" i="2" s="1"/>
  <c r="X31" i="2" s="1"/>
  <c r="Y31" i="2" s="1"/>
  <c r="W30" i="2" a="1"/>
  <c r="W30" i="2" s="1"/>
  <c r="X30" i="2" s="1"/>
  <c r="Y30" i="2" s="1"/>
  <c r="W29" i="2" a="1"/>
  <c r="W29" i="2" s="1"/>
  <c r="X29" i="2" s="1"/>
  <c r="Y29" i="2" s="1"/>
  <c r="W28" i="2" a="1"/>
  <c r="W28" i="2" s="1"/>
  <c r="X28" i="2" s="1"/>
  <c r="Y28" i="2" s="1"/>
  <c r="W27" i="2" a="1"/>
  <c r="W27" i="2" s="1"/>
  <c r="X27" i="2" s="1"/>
  <c r="Y27" i="2" s="1"/>
  <c r="W26" i="2" a="1"/>
  <c r="W26" i="2" s="1"/>
  <c r="X26" i="2" s="1"/>
  <c r="Y26" i="2" s="1"/>
  <c r="W25" i="2" a="1"/>
  <c r="W25" i="2" s="1"/>
  <c r="X25" i="2" s="1"/>
  <c r="Y25" i="2" s="1"/>
  <c r="W24" i="2" a="1"/>
  <c r="W24" i="2" s="1"/>
  <c r="X24" i="2" s="1"/>
  <c r="Y24" i="2" s="1"/>
  <c r="W23" i="2" a="1"/>
  <c r="W23" i="2" s="1"/>
  <c r="X23" i="2" s="1"/>
  <c r="Y23" i="2" s="1"/>
  <c r="W22" i="2" a="1"/>
  <c r="W22" i="2" s="1"/>
  <c r="X22" i="2" s="1"/>
  <c r="Y22" i="2" s="1"/>
  <c r="W21" i="2" a="1"/>
  <c r="W21" i="2" s="1"/>
  <c r="X21" i="2" s="1"/>
  <c r="Y21" i="2" s="1"/>
  <c r="W20" i="2" a="1"/>
  <c r="W20" i="2" s="1"/>
  <c r="X20" i="2" s="1"/>
  <c r="Y20" i="2" s="1"/>
  <c r="W19" i="2" a="1"/>
  <c r="W19" i="2" s="1"/>
  <c r="X19" i="2" s="1"/>
  <c r="Y19" i="2" s="1"/>
  <c r="W18" i="2" a="1"/>
  <c r="W18" i="2" s="1"/>
  <c r="X18" i="2" s="1"/>
  <c r="Y18" i="2" s="1"/>
  <c r="W17" i="2" a="1"/>
  <c r="W17" i="2" s="1"/>
  <c r="X17" i="2" s="1"/>
  <c r="Y17" i="2" s="1"/>
  <c r="W16" i="2" a="1"/>
  <c r="W16" i="2" s="1"/>
  <c r="X16" i="2" s="1"/>
  <c r="Y16" i="2" s="1"/>
  <c r="W15" i="2" a="1"/>
  <c r="W15" i="2" s="1"/>
  <c r="X15" i="2" s="1"/>
  <c r="Y15" i="2" s="1"/>
  <c r="W14" i="2" a="1"/>
  <c r="W14" i="2" s="1"/>
  <c r="X14" i="2" s="1"/>
  <c r="Y14" i="2" s="1"/>
  <c r="W13" i="2" a="1"/>
  <c r="W13" i="2" s="1"/>
  <c r="X13" i="2" s="1"/>
  <c r="Y13" i="2" s="1"/>
  <c r="W12" i="2" a="1"/>
  <c r="W12" i="2" s="1"/>
  <c r="X12" i="2" s="1"/>
  <c r="Y12" i="2" s="1"/>
  <c r="W11" i="2" a="1"/>
  <c r="W11" i="2" s="1"/>
  <c r="X11" i="2" s="1"/>
  <c r="Y11" i="2" s="1"/>
  <c r="W10" i="2" a="1"/>
  <c r="W10" i="2" s="1"/>
  <c r="X10" i="2" s="1"/>
  <c r="Y10" i="2" s="1"/>
  <c r="W8" i="2" a="1"/>
  <c r="W8" i="2" s="1"/>
  <c r="X8" i="2" s="1"/>
  <c r="Y8" i="2" s="1"/>
  <c r="W7" i="2" a="1"/>
  <c r="W7" i="2" s="1"/>
  <c r="X7" i="2" s="1"/>
  <c r="Y7" i="2" s="1"/>
  <c r="W6" i="2" a="1"/>
  <c r="W6" i="2" s="1"/>
  <c r="X6" i="2" s="1"/>
  <c r="Y6" i="2" s="1"/>
  <c r="W5" i="2" a="1"/>
  <c r="W5" i="2" s="1"/>
  <c r="X5" i="2" s="1"/>
  <c r="Y5" i="2" s="1"/>
  <c r="W4" i="2" a="1"/>
  <c r="W4" i="2" s="1"/>
  <c r="X4" i="2" s="1"/>
  <c r="Y4" i="2" s="1"/>
  <c r="W3" i="2" a="1"/>
  <c r="W3" i="2" s="1"/>
  <c r="X3" i="2" s="1"/>
  <c r="Y3" i="2" s="1"/>
  <c r="W2" i="2" a="1"/>
  <c r="W2" i="2" s="1"/>
  <c r="X2" i="2" s="1"/>
  <c r="Y2" i="2" s="1"/>
  <c r="W9" i="2" a="1"/>
  <c r="W9" i="2" s="1"/>
  <c r="X9" i="2" s="1"/>
  <c r="Y9" i="2" s="1"/>
  <c r="W21" i="1"/>
  <c r="W20" i="1"/>
  <c r="W19" i="1"/>
  <c r="W18" i="1"/>
  <c r="W17" i="1"/>
  <c r="W16" i="1"/>
  <c r="W15" i="1"/>
  <c r="W14" i="1"/>
  <c r="W13" i="1"/>
  <c r="W12" i="1"/>
  <c r="W11" i="1"/>
  <c r="W10" i="1"/>
  <c r="W9" i="1"/>
  <c r="W8" i="1"/>
  <c r="W7" i="1"/>
  <c r="W6" i="1"/>
  <c r="W5" i="1"/>
  <c r="W4" i="1"/>
  <c r="W3" i="1"/>
  <c r="W2" i="1"/>
  <c r="V21" i="1"/>
  <c r="V20" i="1"/>
  <c r="V19" i="1"/>
  <c r="V18" i="1"/>
  <c r="V17" i="1"/>
  <c r="V16" i="1"/>
  <c r="V15" i="1"/>
  <c r="V14" i="1"/>
  <c r="V13" i="1"/>
  <c r="V12" i="1"/>
  <c r="V11" i="1"/>
  <c r="V10" i="1"/>
  <c r="V9" i="1"/>
  <c r="V8" i="1"/>
  <c r="V7" i="1"/>
  <c r="V6" i="1"/>
  <c r="V5" i="1"/>
  <c r="V4" i="1"/>
  <c r="V3" i="1"/>
  <c r="V2" i="1"/>
  <c r="B44" i="1" a="1"/>
  <c r="B44" i="1" s="1"/>
  <c r="C44" i="1" s="1"/>
  <c r="D44" i="1" s="1"/>
  <c r="B43" i="1" a="1"/>
  <c r="B43" i="1" s="1"/>
  <c r="C43" i="1" s="1"/>
  <c r="D43" i="1" s="1"/>
  <c r="B42" i="1" a="1"/>
  <c r="B42" i="1" s="1"/>
  <c r="C42" i="1" s="1"/>
  <c r="D42" i="1" s="1"/>
  <c r="B41" i="1" a="1"/>
  <c r="B41" i="1" s="1"/>
  <c r="C41" i="1" s="1"/>
  <c r="D41" i="1" s="1"/>
  <c r="B40" i="1" a="1"/>
  <c r="B40" i="1" s="1"/>
  <c r="C40" i="1" s="1"/>
  <c r="D40" i="1" s="1"/>
  <c r="B39" i="1" a="1"/>
  <c r="B39" i="1" s="1"/>
  <c r="C39" i="1" s="1"/>
  <c r="D39" i="1" s="1"/>
  <c r="B38" i="1" a="1"/>
  <c r="B38" i="1" s="1"/>
  <c r="C38" i="1" s="1"/>
  <c r="D38" i="1" s="1"/>
  <c r="B37" i="1" a="1"/>
  <c r="B37" i="1" s="1"/>
  <c r="C37" i="1" s="1"/>
  <c r="D37" i="1" s="1"/>
  <c r="B36" i="1" a="1"/>
  <c r="B36" i="1" s="1"/>
  <c r="C36" i="1" s="1"/>
  <c r="D36" i="1" s="1"/>
  <c r="B35" i="1" a="1"/>
  <c r="B35" i="1" s="1"/>
  <c r="C35" i="1" s="1"/>
  <c r="D35" i="1" s="1"/>
  <c r="B34" i="1" a="1"/>
  <c r="B34" i="1" s="1"/>
  <c r="C34" i="1" s="1"/>
  <c r="D34" i="1" s="1"/>
  <c r="B33" i="1" a="1"/>
  <c r="B33" i="1" s="1"/>
  <c r="C33" i="1" s="1"/>
  <c r="D33" i="1" s="1"/>
  <c r="B32" i="1" a="1"/>
  <c r="B32" i="1" s="1"/>
  <c r="C32" i="1" s="1"/>
  <c r="D32" i="1" s="1"/>
  <c r="B31" i="1" a="1"/>
  <c r="B31" i="1" s="1"/>
  <c r="C31" i="1" s="1"/>
  <c r="D31" i="1" s="1"/>
  <c r="B30" i="1" a="1"/>
  <c r="B30" i="1" s="1"/>
  <c r="C30" i="1" s="1"/>
  <c r="D30" i="1" s="1"/>
  <c r="B29" i="1" a="1"/>
  <c r="B29" i="1" s="1"/>
  <c r="C29" i="1" s="1"/>
  <c r="D29" i="1" s="1"/>
  <c r="B28" i="1" a="1"/>
  <c r="B28" i="1" s="1"/>
  <c r="C28" i="1" s="1"/>
  <c r="D28" i="1" s="1"/>
  <c r="B27" i="1" a="1"/>
  <c r="B27" i="1" s="1"/>
  <c r="C27" i="1" s="1"/>
  <c r="D27" i="1" s="1"/>
  <c r="B26" i="1" a="1"/>
  <c r="B26" i="1" s="1"/>
  <c r="C26" i="1" s="1"/>
  <c r="D26" i="1" s="1"/>
  <c r="B25" i="1" a="1"/>
  <c r="B25" i="1" s="1"/>
  <c r="C25" i="1" s="1"/>
  <c r="D25" i="1" s="1"/>
  <c r="U21" i="1"/>
  <c r="U20" i="1"/>
  <c r="U19" i="1"/>
  <c r="U18" i="1"/>
  <c r="U17" i="1"/>
  <c r="U16" i="1"/>
  <c r="U15" i="1"/>
  <c r="U14" i="1"/>
  <c r="U13" i="1"/>
  <c r="U12" i="1"/>
  <c r="U11" i="1"/>
  <c r="U10" i="1"/>
  <c r="U9" i="1"/>
  <c r="U8" i="1"/>
  <c r="U7" i="1"/>
  <c r="U6" i="1"/>
  <c r="U5" i="1"/>
  <c r="U4" i="1"/>
  <c r="U3" i="1"/>
  <c r="U2" i="1"/>
  <c r="Z9" i="2" l="1"/>
  <c r="AA9"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futureMetadata>
  <cellMetadata count="1">
    <bk>
      <rc t="1" v="0"/>
    </bk>
  </cellMetadata>
  <valueMetadata count="3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valueMetadata>
</metadata>
</file>

<file path=xl/sharedStrings.xml><?xml version="1.0" encoding="utf-8"?>
<sst xmlns="http://schemas.openxmlformats.org/spreadsheetml/2006/main" count="377" uniqueCount="106">
  <si>
    <t>Stock</t>
  </si>
  <si>
    <t>Weekly Close Date</t>
  </si>
  <si>
    <t>Weekly Close</t>
  </si>
  <si>
    <t>CMP</t>
  </si>
  <si>
    <t>Drift %</t>
  </si>
  <si>
    <t>RSI</t>
  </si>
  <si>
    <t>MACD Histogram</t>
  </si>
  <si>
    <t>SMA 10W</t>
  </si>
  <si>
    <t>Price vs SMA 10W %</t>
  </si>
  <si>
    <t>Weekly RVOL</t>
  </si>
  <si>
    <t>Daily DVR (10D)</t>
  </si>
  <si>
    <t>Institutional Activity</t>
  </si>
  <si>
    <t>Ideal Buy Low</t>
  </si>
  <si>
    <t>Ideal Buy High</t>
  </si>
  <si>
    <t>Stop Loss</t>
  </si>
  <si>
    <t>Target 1</t>
  </si>
  <si>
    <t>Target 2</t>
  </si>
  <si>
    <t>Momentum Score</t>
  </si>
  <si>
    <t>Signal</t>
  </si>
  <si>
    <t>COALINDIA</t>
  </si>
  <si>
    <t>No Institutional Activity</t>
  </si>
  <si>
    <t>Confirmed Momentum</t>
  </si>
  <si>
    <t>CHOLAFIN</t>
  </si>
  <si>
    <t>TITAN</t>
  </si>
  <si>
    <t>HCLTECH</t>
  </si>
  <si>
    <t>ASIANPAINT</t>
  </si>
  <si>
    <t>SBILIFE</t>
  </si>
  <si>
    <t>LT</t>
  </si>
  <si>
    <t>UPL</t>
  </si>
  <si>
    <t>NMDC</t>
  </si>
  <si>
    <t>Moderate Institutional Activity</t>
  </si>
  <si>
    <t>ICICIPRULI</t>
  </si>
  <si>
    <t>ADANIENSOL</t>
  </si>
  <si>
    <t>LTTS</t>
  </si>
  <si>
    <t>RELIANCE</t>
  </si>
  <si>
    <t>MUTHOOTFIN</t>
  </si>
  <si>
    <t>HINDALCO</t>
  </si>
  <si>
    <t>TORNTPHARM</t>
  </si>
  <si>
    <t>KOTAKBANK</t>
  </si>
  <si>
    <t>AUROPHARMA</t>
  </si>
  <si>
    <t>INFY</t>
  </si>
  <si>
    <t>BHARTIARTL</t>
  </si>
  <si>
    <t>ADANIPORTS</t>
  </si>
  <si>
    <t>AXISBANK</t>
  </si>
  <si>
    <t>BAJAJ-AUTO</t>
  </si>
  <si>
    <t>BPCL</t>
  </si>
  <si>
    <t>INDUSINDBK</t>
  </si>
  <si>
    <t>NESTLEIND</t>
  </si>
  <si>
    <t>SBIN</t>
  </si>
  <si>
    <t>TECHM</t>
  </si>
  <si>
    <t>WIPRO</t>
  </si>
  <si>
    <t>BANKBARODA</t>
  </si>
  <si>
    <t>CANBK</t>
  </si>
  <si>
    <t>IOC</t>
  </si>
  <si>
    <t>LUPIN</t>
  </si>
  <si>
    <t>SRF</t>
  </si>
  <si>
    <t>VEDL</t>
  </si>
  <si>
    <t>BRITANNIA</t>
  </si>
  <si>
    <t>Early Momentum</t>
  </si>
  <si>
    <t>EICHERMOT</t>
  </si>
  <si>
    <t>GRASIM</t>
  </si>
  <si>
    <t>ITC</t>
  </si>
  <si>
    <t>TCS</t>
  </si>
  <si>
    <t>ULTRACEMCO</t>
  </si>
  <si>
    <t>BOSCHLTD</t>
  </si>
  <si>
    <t>GODREJCP</t>
  </si>
  <si>
    <t>IRCTC</t>
  </si>
  <si>
    <t>MARICO</t>
  </si>
  <si>
    <t>NAUKRI</t>
  </si>
  <si>
    <t>VOLTAS</t>
  </si>
  <si>
    <t>ADANIENT</t>
  </si>
  <si>
    <t>No Signal</t>
  </si>
  <si>
    <t>APOLLOHOSP</t>
  </si>
  <si>
    <t>BAJFINANCE</t>
  </si>
  <si>
    <t>BAJAJFINSV</t>
  </si>
  <si>
    <t>CIPLA</t>
  </si>
  <si>
    <t>DIVISLAB</t>
  </si>
  <si>
    <t>DRREDDY</t>
  </si>
  <si>
    <t>HDFCBANK</t>
  </si>
  <si>
    <t>HDFCLIFE</t>
  </si>
  <si>
    <t>HEROMOTOCO</t>
  </si>
  <si>
    <t>HINDUNILVR</t>
  </si>
  <si>
    <t>ICICIBANK</t>
  </si>
  <si>
    <t>JSWSTEEL</t>
  </si>
  <si>
    <t>M&amp;M</t>
  </si>
  <si>
    <t>MARUTI</t>
  </si>
  <si>
    <t>NTPC</t>
  </si>
  <si>
    <t>ONGC</t>
  </si>
  <si>
    <t>POWERGRID</t>
  </si>
  <si>
    <t>SUNPHARMA</t>
  </si>
  <si>
    <t>TATASTEEL</t>
  </si>
  <si>
    <t>Strong Institutional Activity</t>
  </si>
  <si>
    <t>ABB</t>
  </si>
  <si>
    <t>ADANIPOWER</t>
  </si>
  <si>
    <t>HAVELLS</t>
  </si>
  <si>
    <t>ICICIGI</t>
  </si>
  <si>
    <t>PIDILITIND</t>
  </si>
  <si>
    <t>PFC</t>
  </si>
  <si>
    <t>PNB</t>
  </si>
  <si>
    <t>RECLTD</t>
  </si>
  <si>
    <t>SHREECEM</t>
  </si>
  <si>
    <t>TVSMOTOR</t>
  </si>
  <si>
    <t>UBL</t>
  </si>
  <si>
    <t>ZEEL</t>
  </si>
  <si>
    <t>ZYDUSLIFE</t>
  </si>
  <si>
    <t>Now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</si>
</sst>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amily val="2"/>
    </font>
    <font>
      <sz val="11"/>
      <color theme="1"/>
      <name val="Calibri"/>
      <family val="2"/>
      <scheme val="minor"/>
    </font>
    <font>
      <sz val="8"/>
      <color theme="1"/>
      <name val="Calibri"/>
      <family val="2"/>
      <scheme val="minor"/>
    </font>
    <font>
      <sz val="7"/>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3" fillId="0" borderId="0" xfId="0" applyFont="1"/>
    <xf numFmtId="0" fontId="4" fillId="0" borderId="0" xfId="0" applyFont="1"/>
    <xf numFmtId="10" fontId="0" fillId="0" borderId="0" xfId="1"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13">
  <rv s="0">
    <v>https://www.bing.com/financeapi/forcetrigger?t=ahherw&amp;q=XNSE%3aCOALINDIA&amp;form=skydnc</v>
    <v>Learn more on Bing</v>
  </rv>
  <rv s="1">
    <v>0</v>
    <v>COAL INDIA LTD (XNSE:COALINDIA)</v>
    <v>2</v>
    <v>3</v>
    <v>Finance</v>
    <v>4</v>
    <v>en-US</v>
    <v>ahherw</v>
    <v>268435456</v>
    <v>1</v>
    <v>9</v>
    <v>Powered by Refinitiv</v>
    <v>417.25</v>
    <v>349.25</v>
    <v>1.0379</v>
    <v>1.75</v>
    <v>4.3860000000000001E-3</v>
    <v>INR</v>
    <v>Coal India Ltd. is an India-based coal mining company. The Company along with its subsidiaries, is primarily engaged in the mining and production of coal. It operates approximately 310 working mines, consisting of 129 underground, 168 opencast, and 13 mixed mines. Its products and services include Coking Coal, Semi Coking Coal, Non-Coking Coal, Washed and Beneficiated Coal, Middlings, CIL Coke / LTC Coke, Coal Fines / Coke Fines, and others. It has over 21 training Institutes and 76 Vocational Training Centers. The Company operates the Indian Institute of Coal Management (IICM), which is a corporate training institute in India. IICM conducts multi-disciplinary programs.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220272</v>
    <v>National Stock Exchange of India</v>
    <v>XNSE</v>
    <v>XNSE</v>
    <v>Coal Bhawan, Premise No-04 MAR,, Plot No-AF-III,Action Area-1A,, Newtown,Rajarhat, KOLKATA, WEST BENGAL, 700156 IN</v>
    <v>402.8</v>
    <v>Coal</v>
    <v>Stock</v>
    <v>46023.330752314818</v>
    <v>0</v>
    <v>398.25</v>
    <v>2452766000000</v>
    <v>COAL INDIA LTD</v>
    <v>COAL INDIA LTD</v>
    <v>399</v>
    <v>7.9130000000000003</v>
    <v>399</v>
    <v>400.75</v>
    <v>6162729000</v>
    <v>COALINDIA</v>
    <v>COAL INDIA LTD (XNSE:COALINDIA)</v>
    <v>2053085</v>
    <v>6993560</v>
    <v>1973</v>
  </rv>
  <rv s="2">
    <v>1</v>
  </rv>
  <rv s="0">
    <v>https://www.bing.com/financeapi/forcetrigger?t=ahhdvh&amp;q=XNSE%3aCHOLAFIN&amp;form=skydnc</v>
    <v>Learn more on Bing</v>
  </rv>
  <rv s="1">
    <v>0</v>
    <v>CHOLAMANDALAM INVESTMENT AND FINANCE COMPANY LIMITED (XNSE:CHOLAFIN)</v>
    <v>2</v>
    <v>3</v>
    <v>Finance</v>
    <v>4</v>
    <v>en-US</v>
    <v>ahhdvh</v>
    <v>268435456</v>
    <v>1</v>
    <v>9</v>
    <v>Powered by Refinitiv</v>
    <v>1782</v>
    <v>1169.8</v>
    <v>1.2675000000000001</v>
    <v>10.8</v>
    <v>6.3449999999999999E-3</v>
    <v>INR</v>
    <v>Cholamandalam Investment and Finance Company Limited is an India-based non-banking financial company (investment and credit company). It is engaged in the business of financing. Its segments include Vehicle Finance, Loan against property, Home Loans and Others Loans. The Vehicle Finance Loans segment provides loans to customers against purchase of new/used vehicles, tractors, construction equipment and loans to automobile dealers. Loan against property segment provides loans to customers against immovable property. The Home Loans segment includes loans given for acquisition/construction of residential property and loan against residential property. Other Loans segment consists of consumer and small enterprise loans, secured business and personal loans and SME loans. It offers gold loan, commercial vehicle loan, car loan, used car loan, construction equipment loan, two wheeler loan, new car loan, tractor loan three-wheeler loan, secured business loan, instant personal loan and others.</v>
    <v>46678</v>
    <v>National Stock Exchange of India</v>
    <v>XNSE</v>
    <v>XNSE</v>
    <v>Dare House, 2, NSC Bose Road, Parrys, CHENNAI, TAMIL NADU, 600001 IN</v>
    <v>1723</v>
    <v>Banking Services</v>
    <v>Stock</v>
    <v>46023.330740740741</v>
    <v>3</v>
    <v>1698.7</v>
    <v>1435985000000</v>
    <v>CHOLAMANDALAM INVESTMENT AND FINANCE COMPANY LIMITED</v>
    <v>CHOLAMANDALAM INVESTMENT AND FINANCE COMPANY LIMITED</v>
    <v>1707.1</v>
    <v>31.0124</v>
    <v>1702.2</v>
    <v>1713</v>
    <v>843952500</v>
    <v>CHOLAFIN</v>
    <v>CHOLAMANDALAM INVESTMENT AND FINANCE COMPANY LIMITED (XNSE:CHOLAFIN)</v>
    <v>247919</v>
    <v>2569380</v>
    <v>1978</v>
  </rv>
  <rv s="2">
    <v>4</v>
  </rv>
  <rv s="0">
    <v>https://www.bing.com/financeapi/forcetrigger?t=ahkdxm&amp;q=XNSE%3aTITAN&amp;form=skydnc</v>
    <v>Learn more on Bing</v>
  </rv>
  <rv s="1">
    <v>0</v>
    <v>TITAN COMPANY LIMITED (XNSE:TITAN)</v>
    <v>2</v>
    <v>3</v>
    <v>Finance</v>
    <v>4</v>
    <v>en-US</v>
    <v>ahkdxm</v>
    <v>268435456</v>
    <v>1</v>
    <v>9</v>
    <v>Powered by Refinitiv</v>
    <v>4068</v>
    <v>2925</v>
    <v>1.2606999999999999</v>
    <v>8.9</v>
    <v>2.1970000000000002E-3</v>
    <v>INR</v>
    <v>Titan Company Limited is an India-based lifestyle company. The Company is primarily involved in the manufacturing and sale of Watches, Jewelry, Eyewear and other accessories and products. The Company's segments include Watches and Wearables, Jewelry, Eyewear and Others. The Watches and Wearables segment includes brands, such as Titan, Titan Clock, Fastrack, Sonata, Zoop, Octane, Xylys, Helios, Titan Raga, Fastrack Smart, Nebula and SF. The Jewelry segment includes brands, such as Tanishq, Mia, Zoya and CaratLane. The Eyewear segment includes the Titan EyePlus and Fastrack Eyecare. The Others segment includes Aerospace &amp; Defence, Automation Solutions, Fragrances, Accessories and Indian dress wear. Its new business includes brands, such as Skinn and Taneira. The Company's subsidiaries include Titan Engineering &amp; Automation Limited, Titan Commodity Trading Limited, TCL North America Inc., TEAL USA Inc., and Titan Watch Company Limited Hongkong, among others.</v>
    <v>9191</v>
    <v>National Stock Exchange of India</v>
    <v>XNSE</v>
    <v>XNSE</v>
    <v>Integrity, #193, Veerasandra, Electronic City P.O.,, Off Hosur Main Road, BANGALORE, KARNATAKA, 560100 IN</v>
    <v>4068</v>
    <v>Textiles &amp; Apparel</v>
    <v>Stock</v>
    <v>46023.330763888887</v>
    <v>6</v>
    <v>4035.7</v>
    <v>3525207000000</v>
    <v>TITAN COMPANY LIMITED</v>
    <v>TITAN COMPANY LIMITED</v>
    <v>4063.7</v>
    <v>87.228499999999997</v>
    <v>4051.5</v>
    <v>4060.4</v>
    <v>887045300</v>
    <v>TITAN</v>
    <v>TITAN COMPANY LIMITED (XNSE:TITAN)</v>
    <v>269292</v>
    <v>834900</v>
    <v>1984</v>
  </rv>
  <rv s="2">
    <v>7</v>
  </rv>
  <rv s="0">
    <v>https://www.bing.com/financeapi/forcetrigger?t=ahi3dm&amp;q=XNSE%3aHCLTECH&amp;form=skydnc</v>
    <v>Learn more on Bing</v>
  </rv>
  <rv s="1">
    <v>0</v>
    <v>HCL TECHNOLOGIES LIMITED (XNSE:HCLTECH)</v>
    <v>2</v>
    <v>3</v>
    <v>Finance</v>
    <v>4</v>
    <v>en-US</v>
    <v>ahi3dm</v>
    <v>268435456</v>
    <v>1</v>
    <v>9</v>
    <v>Powered by Refinitiv</v>
    <v>2005.46</v>
    <v>1302.75</v>
    <v>0.97889999999999999</v>
    <v>18.600000000000001</v>
    <v>1.1457999999999999E-2</v>
    <v>INR</v>
    <v>HCL Technologies Limited is a technology company. It is engaged in providing a range of information technology (IT) and business services, engineering and research and development (R&amp;D) services and software products and IP-led offerings. Its segments include IT and Business services, Engineering and R&amp;D services, and HCL Software. IT and Business Services segment provide a comprehensive portfolio of IT and Business Services, such as application, infrastructure and digital process operations) and digital transformation services enabled by digital and analytics, IoTWoRKs, Cloud native and Cybersecurity solutions including products developed within these businesses. Engineering and R&amp;D Services provides engineering services and solutions across software, embedded, mechanical, VLSI and platform engineering that support the end-to-end lifecycle of products both hardware and software across diverse industries. HCL Software segment provides modernized software products and IP-led offerings.</v>
    <v>226640</v>
    <v>National Stock Exchange of India</v>
    <v>XNSE</v>
    <v>XNSE</v>
    <v>Technology Hub, SEZ, Plot No. 3A, Sector 126, NOIDA, UTTAR PRADESH, 201304 IN</v>
    <v>1645.7</v>
    <v>Software &amp; IT Services</v>
    <v>Stock</v>
    <v>46023.330752314818</v>
    <v>9</v>
    <v>1618.4</v>
    <v>4369940000000</v>
    <v>HCL TECHNOLOGIES LIMITED</v>
    <v>HCL TECHNOLOGIES LIMITED</v>
    <v>1622.9</v>
    <v>26.209299999999999</v>
    <v>1623.3</v>
    <v>1641.9</v>
    <v>2705510000</v>
    <v>HCLTECH</v>
    <v>HCL TECHNOLOGIES LIMITED (XNSE:HCLTECH)</v>
    <v>388297</v>
    <v>1833800</v>
    <v>1991</v>
  </rv>
  <rv s="2">
    <v>10</v>
  </rv>
  <rv s="0">
    <v>https://www.bing.com/financeapi/forcetrigger?t=ahgz6h&amp;q=XNSE%3aASIANPAINT&amp;form=skydnc</v>
    <v>Learn more on Bing</v>
  </rv>
  <rv s="1">
    <v>0</v>
    <v>ASIAN PAINTS LIMITED (XNSE:ASIANPAINT)</v>
    <v>2</v>
    <v>3</v>
    <v>Finance</v>
    <v>4</v>
    <v>en-US</v>
    <v>ahgz6h</v>
    <v>268435456</v>
    <v>1</v>
    <v>9</v>
    <v>Powered by Refinitiv</v>
    <v>2985.7</v>
    <v>2124.75</v>
    <v>1.1798999999999999</v>
    <v>3.6</v>
    <v>1.2999999999999999E-3</v>
    <v>INR</v>
    <v>Asian Paints Limited is an India-based company, which is engaged in the business of manufacturing, selling and distribution of paints, coatings, products related to home decor, bath fittings and providing related services. The Company operates through the Paints and Home Decor segment. The Company manufactures paints, varnishes, enamels, and thinners. It also manufactures organic and inorganic chemical compounds; metal sanitary ware such as bath, sinks, washbasins and similar articles and cosmetics and toiletries. Its Home Decor business offers modular kitchens and wardrobes, bath fittings and sanitaryware, decorative lightnings, unplasticized polyvinyl chloride (uPVC) windows and doors, wall coverings, furniture, furnishing, and rugs. It offers a range of services, such as interior design service, safe painting service, wood solutions, waterproofing solutions, color consultancy online and contractor finder services.</v>
    <v>11111</v>
    <v>National Stock Exchange of India</v>
    <v>XNSE</v>
    <v>XNSE</v>
    <v>6A &amp; 6B, Shantinagar, Santacruz (East), MUMBAI, MAHARASHTRA, 400055 IN</v>
    <v>2782.7</v>
    <v>Chemicals</v>
    <v>Stock</v>
    <v>46023.330740740741</v>
    <v>12</v>
    <v>2761.4</v>
    <v>2644046000000</v>
    <v>ASIAN PAINTS LIMITED</v>
    <v>ASIAN PAINTS LIMITED</v>
    <v>2775.9</v>
    <v>68.2346</v>
    <v>2769.5</v>
    <v>2773.1</v>
    <v>958578200</v>
    <v>ASIANPAINT</v>
    <v>ASIAN PAINTS LIMITED (XNSE:ASIANPAINT)</v>
    <v>163286</v>
    <v>1345460</v>
    <v>1945</v>
  </rv>
  <rv s="2">
    <v>13</v>
  </rv>
  <rv s="0">
    <v>https://www.bing.com/financeapi/forcetrigger?t=ahju3m&amp;q=XNSE%3aSBILIFE&amp;form=skydnc</v>
    <v>Learn more on Bing</v>
  </rv>
  <rv s="1">
    <v>0</v>
    <v>SBI LIFE INSURANCE COMPANY LIMITED (XNSE:SBILIFE)</v>
    <v>2</v>
    <v>3</v>
    <v>Finance</v>
    <v>4</v>
    <v>en-US</v>
    <v>ahju3m</v>
    <v>268435456</v>
    <v>1</v>
    <v>9</v>
    <v>Powered by Refinitiv</v>
    <v>2086.6</v>
    <v>1372.55</v>
    <v>1.0378000000000001</v>
    <v>0</v>
    <v>0</v>
    <v>INR</v>
    <v>SBI Life Insurance Company Limited is an India-based company, which offers life insurance. The Company operates through three segments: Participating, Non-Participating, and Linked segments. Its Participating segment includes Individual Life, Individual Pension, Group Pension, and Variable Insurance. Its Non-Participating segment includes Individual Life, Individual Pension, Group Savings, OYRGTA, Group Others, Annuity, Health, and Variable Insurance. Its Linked segment includes Individual, Group, and Pension. Its online plans include SBI Life-eShield Next, SBI Life-Retire Smart, SBI Life-eWealth Insurance, SBI Life-Smart Elite Plus, SBI Life-Smart Platina Plus and SBI Life-Smart Platina Supreme. Its savings plan includes SBI Life-Smart Platina Plus, and others. Its protection plans include SBI Life-eShield Next, SBI Life-eShield Insta, SBI Life-Saral Jeevan Bima, and others. Its retirement plans include SBI Life-Retire Smart Plus, SBI Life-Smart Annuity Income, and others.</v>
    <v>25672</v>
    <v>National Stock Exchange of India</v>
    <v>XNSE</v>
    <v>XNSE</v>
    <v>Natraj, M.V. Road &amp; Western Express Highway Junction, Andheri (East), MUMBAI, MAHARASHTRA, 400069 IN</v>
    <v>2041.9</v>
    <v>Insurance</v>
    <v>Stock</v>
    <v>46023.330740740741</v>
    <v>15</v>
    <v>2027.2</v>
    <v>2001147000000</v>
    <v>SBI LIFE INSURANCE COMPANY LIMITED</v>
    <v>SBI LIFE INSURANCE COMPANY LIMITED</v>
    <v>2034.9</v>
    <v>83.130399999999995</v>
    <v>2034.9</v>
    <v>2034.9</v>
    <v>1002830000</v>
    <v>SBILIFE</v>
    <v>SBI LIFE INSURANCE COMPANY LIMITED (XNSE:SBILIFE)</v>
    <v>124547</v>
    <v>769100</v>
    <v>2000</v>
  </rv>
  <rv s="2">
    <v>16</v>
  </rv>
  <rv s="0">
    <v>https://www.bing.com/financeapi/forcetrigger?t=ahirxm&amp;q=XNSE%3aLT&amp;form=skydnc</v>
    <v>Learn more on Bing</v>
  </rv>
  <rv s="1">
    <v>0</v>
    <v>LARSEN AND TOUBRO LIMITED (XNSE:LT)</v>
    <v>2</v>
    <v>3</v>
    <v>Finance</v>
    <v>4</v>
    <v>en-US</v>
    <v>ahirxm</v>
    <v>268435456</v>
    <v>1</v>
    <v>9</v>
    <v>Powered by Refinitiv</v>
    <v>4141</v>
    <v>2965.3</v>
    <v>1.0254000000000001</v>
    <v>52.8</v>
    <v>1.2929999999999999E-2</v>
    <v>INR</v>
    <v>Larsen and Toubro Limited is an India-based multinational company, which is engaged in engineering, procurement, and construction (EPC) projects, hi-tech manufacturing and services. The Company's segments include Infrastructure Projects, Energy Projects, Hi-Tech Manufacturing, IT &amp; Technology Services, Financial Services, Development Projects and Others. Energy Projects segment comprises EPC/turnkey solutions in hydrocarbon business, power business and EPC solutions in green energy space. Hi-Tech Manufacturing segment comprises design, manufacture/construct, supply and revamp/retrofit of custom designed, engineered critical equipment &amp; systems to the process plants, nuclear energy &amp; green hydrogen sectors, marine and land platforms, and electrolysers. IT &amp; Technology Services segment comprises information technology and integrated engineering services (including smart world and communication projects), e-commerce/digital platforms &amp; data centers, and semiconductor chip design.</v>
    <v>58244</v>
    <v>National Stock Exchange of India</v>
    <v>XNSE</v>
    <v>XNSE</v>
    <v>L&amp;T House, Ballard Estate, P. O. Box: 278, MUMBAI, MAHARASHTRA, 400001 IN</v>
    <v>4141</v>
    <v>Construction &amp; Engineering</v>
    <v>Stock</v>
    <v>46023.330729166664</v>
    <v>18</v>
    <v>4088.3</v>
    <v>5573854000000</v>
    <v>LARSEN AND TOUBRO LIMITED</v>
    <v>LARSEN AND TOUBRO LIMITED</v>
    <v>4090</v>
    <v>34.685299999999998</v>
    <v>4083.5</v>
    <v>4136.3</v>
    <v>1375581000</v>
    <v>LT</v>
    <v>LARSEN AND TOUBRO LIMITED (XNSE:LT)</v>
    <v>687541</v>
    <v>1218080</v>
    <v>1946</v>
  </rv>
  <rv s="2">
    <v>19</v>
  </rv>
  <rv s="0">
    <v>https://www.bing.com/financeapi/forcetrigger?t=ahki77&amp;q=XNSE%3aUPL&amp;form=skydnc</v>
    <v>Learn more on Bing</v>
  </rv>
  <rv s="1">
    <v>0</v>
    <v>UPL LIMITED (XNSE:UPL)</v>
    <v>2</v>
    <v>3</v>
    <v>Finance</v>
    <v>4</v>
    <v>en-US</v>
    <v>ahki77</v>
    <v>268435456</v>
    <v>1</v>
    <v>9</v>
    <v>Powered by Refinitiv</v>
    <v>801</v>
    <v>493</v>
    <v>1.0868</v>
    <v>-2.85</v>
    <v>-3.5839999999999999E-3</v>
    <v>INR</v>
    <v>UPL Limited is an India-based company that provides agricultural solutions and services. The Company operates through three segments: Crop Protection, Seeds Business, and Non Agro. Its Crop Protection segment includes the manufacture and marketing of conventional agrochemical products, and other agricultural related products. Its Seeds Business segment includes the production and marketing of seeds. Its Non Agro includes manufacture and marketing of industrial chemical and other non-agricultural related products. The Company’s specialty applications include crop protection solutions for niche and specialty crops; products for underserved or hard-to-control pests; alternative application methods like seed and soil applied technologies; and bio-based products. Its offering covers the entire agricultural value chain spanning, such as seeds, crop protection products, natural solutions, on-farm equipment and services, and post-harvest solutions.</v>
    <v>4247</v>
    <v>National Stock Exchange of India</v>
    <v>XNSE</v>
    <v>XNSE</v>
    <v>Uniphos House, C.D. Marg,, 11th Road, Madhu Park,, Khar (West),, MUMBAI, MAHARASHTRA, 400052 IN</v>
    <v>798.2</v>
    <v>Chemicals</v>
    <v>Stock</v>
    <v>46023.330682870372</v>
    <v>21</v>
    <v>786.1</v>
    <v>664560600000</v>
    <v>UPL LIMITED</v>
    <v>UPL LIMITED</v>
    <v>797.3</v>
    <v>30.950900000000001</v>
    <v>795.15</v>
    <v>792.3</v>
    <v>844433600</v>
    <v>UPL</v>
    <v>UPL LIMITED (XNSE:UPL)</v>
    <v>1373340</v>
    <v>3114520</v>
    <v>1985</v>
  </rv>
  <rv s="2">
    <v>22</v>
  </rv>
  <rv s="0">
    <v>https://www.bing.com/financeapi/forcetrigger?t=ahj852&amp;q=XNSE%3aNMDC&amp;form=skydnc</v>
    <v>Learn more on Bing</v>
  </rv>
  <rv s="1">
    <v>0</v>
    <v>NMDC LIMITED (XNSE:NMDC)</v>
    <v>2</v>
    <v>3</v>
    <v>Finance</v>
    <v>4</v>
    <v>en-US</v>
    <v>ahj852</v>
    <v>268435456</v>
    <v>1</v>
    <v>9</v>
    <v>Powered by Refinitiv</v>
    <v>84.64</v>
    <v>59.53</v>
    <v>0.86639999999999995</v>
    <v>-0.17</v>
    <v>-2.0439999999999998E-3</v>
    <v>INR</v>
    <v>NMDC Limited is an India-based producer of iron ore. The Company owns and operates highly mechanized iron ore mines in the state of Chhattisgarh and Karnataka. It also operates the mechanized diamond mine in India at Panna, Madhya Pradesh. It offers a diverse range of iron ore products, each tailored to meet specific industrial requirements. It produces rough diamonds that cater to the gem and jewelry industry. The Company's segments include Iron Ore, and Pellet, Other Minerals &amp; Services. Its products include Baila ROM, Baila Lump, DR CLO, 10-20 mm Baila, Baila Fine, Doni Lump, Kumaraswamy Lump, Kumaraswamy Lump Ore, Doni Fines, Kumaraswamy Fine, Iron Ore Pellets, and Rough Diamonds. It holds around 26% stake in International Coal Ventures Pvt. Ltd (ICVL). ICVL owns coking coal deposit in Mozambique. The Company, through its subsidiary, Legacy Iron Ore Limited, carries out exploration in its 21 exploration tenements in Western Australia in iron ore, gold, tungsten and base metals.</v>
    <v>5677</v>
    <v>National Stock Exchange of India</v>
    <v>XNSE</v>
    <v>XNSE</v>
    <v>Khanij Bhavan, Masab Tank, HYDERABAD, TELANGANA, 500028 IN</v>
    <v>83.45</v>
    <v>Metals &amp; Mining</v>
    <v>Stock</v>
    <v>46023.330729166664</v>
    <v>24</v>
    <v>82.21</v>
    <v>733325500000</v>
    <v>NMDC LIMITED</v>
    <v>NMDC LIMITED</v>
    <v>83.17</v>
    <v>10.3855</v>
    <v>83.17</v>
    <v>83</v>
    <v>8791817000</v>
    <v>NMDC</v>
    <v>NMDC LIMITED (XNSE:NMDC)</v>
    <v>10091122</v>
    <v>27880040</v>
    <v>1958</v>
  </rv>
  <rv s="2">
    <v>25</v>
  </rv>
  <rv s="0">
    <v>https://www.bing.com/financeapi/forcetrigger?t=ahi8cw&amp;q=XNSE%3aICICIPRULI&amp;form=skydnc</v>
    <v>Learn more on Bing</v>
  </rv>
  <rv s="1">
    <v>0</v>
    <v>ICICI PRUDENTIAL LIFE INSURANCE COMPANY LIMITED (XNSE:ICICIPRULI)</v>
    <v>2</v>
    <v>3</v>
    <v>Finance</v>
    <v>4</v>
    <v>en-US</v>
    <v>ahi8cw</v>
    <v>268435456</v>
    <v>1</v>
    <v>9</v>
    <v>Powered by Refinitiv</v>
    <v>693.5</v>
    <v>525.79999999999995</v>
    <v>1.0006999999999999</v>
    <v>2.75</v>
    <v>4.1149999999999997E-3</v>
    <v>INR</v>
    <v>ICICI Prudential Life Insurance Company Limited is engaged in carrying on the business of providing life insurance, pensions and health insurance products to individuals and groups. The Company’s segments include Par Life, Par Pension, Non-Par Life, Non-Par Pension, Non-Par Variable, Non-Par Variable Pension, Annuity Non-Par, Health, Linked Life, Linked Pension, Linked Health, Linked Group Life, and Linked Group Pension. Its non-linked insurance savings plans include ICICI Pru Gift Pro, ICICI Pru Guaranteed Income for Tomorrow, ICICI Pru Gold, ICICI Pru Sukh Samruddhi, ICICI Pru Future Perfect, ICICI Pru Savings Suraksha, and ICICI Pru Anmol Bachat. Its protection plans include ICICI Pru iProtect Smart, ICICI Pru iProtect Return of Premium, ICICI Pru Saral Jeevan Bima, ICICI Pru Heart Cancer Protect, and others. Its Unit-Linked Insurance Plans include ICICI Pru Signature, ICICI Pru LifeTime Classic, ICICI Pru Smart Life, ICICI Pru Platinum, ICICI Pru EzyGrow, and others.</v>
    <v>18907</v>
    <v>National Stock Exchange of India</v>
    <v>XNSE</v>
    <v>XNSE</v>
    <v>ICICI Prulife Towers, 1089, Appasaheb Marathe Marg, Prabhadevi, MUMBAI, MAHARASHTRA, 400025 IN</v>
    <v>672.8</v>
    <v>Insurance</v>
    <v>Stock</v>
    <v>46023.330740740741</v>
    <v>27</v>
    <v>666</v>
    <v>947960400000</v>
    <v>ICICI PRUDENTIAL LIFE INSURANCE COMPANY LIMITED</v>
    <v>ICICI PRUDENTIAL LIFE INSURANCE COMPANY LIMITED</v>
    <v>669.3</v>
    <v>74.148600000000002</v>
    <v>668.25</v>
    <v>671</v>
    <v>1447599000</v>
    <v>ICICIPRULI</v>
    <v>ICICI PRUDENTIAL LIFE INSURANCE COMPANY LIMITED (XNSE:ICICIPRULI)</v>
    <v>213539</v>
    <v>1084050</v>
    <v>2000</v>
  </rv>
  <rv s="2">
    <v>28</v>
  </rv>
  <rv s="0">
    <v>https://www.bing.com/financeapi/forcetrigger?t=ahgrc7&amp;q=XNSE%3aADANITRANS&amp;form=skydnc</v>
    <v>Learn more on Bing</v>
  </rv>
  <rv s="1">
    <v>0</v>
    <v>ADANI ENERGY SOLUTIONS LIMITED (XNSE:ADANIENSOL)</v>
    <v>2</v>
    <v>3</v>
    <v>Finance</v>
    <v>4</v>
    <v>en-US</v>
    <v>ahgrc7</v>
    <v>268435456</v>
    <v>1</v>
    <v>9</v>
    <v>Powered by Refinitiv</v>
    <v>1061.7</v>
    <v>639.45000000000005</v>
    <v>2.7953999999999999</v>
    <v>30.95</v>
    <v>3.0126E-2</v>
    <v>INR</v>
    <v>Adani Energy Solutions Limited is an India-based holding company. The Company is a private utility providing end-to-end energy solutions. Its segments include Transmission, GTD Business, Smart Metering, and Trading. The Transmission segment is engaged in providing transmission lines for transmission of power. The GTD Business segment is engaged in the generation, transmission, and distribution (GTD) of power business for Mumbai city (Mumbai GTD Business) and Mundra distribution. The Smart Metering segment focuses on supply, installing and maintaining of a Smart Metering Project on a Design-Build-Finance-Own-Operate-Transfer (DBFOOT) basis. The Trading segment is involved in trading activity of goods. It owns and operates various high voltage AC transmission lines and substations. It also offers cooling solutions and others. The Company has approximately 21,783 circuit kilometers (ckm) of transmission lines and 61,686 mega volt amp (MVA) of transformation capacity.</v>
    <v>4191</v>
    <v>National Stock Exchange of India</v>
    <v>XNSE</v>
    <v>XNSE</v>
    <v>Adani Corporate House, Shantigram, Near Vaishno Devi Circle, S G Highway, S. G. Highway, Khodiyar, AHMEDABAD, GUJARAT, 382421 IN</v>
    <v>1061.7</v>
    <v>Electrical Utilities &amp; IPPs</v>
    <v>Stock</v>
    <v>46023.330775462964</v>
    <v>30</v>
    <v>1026.3</v>
    <v>1230294000000</v>
    <v>ADANI ENERGY SOLUTIONS LIMITED</v>
    <v>ADANI ENERGY SOLUTIONS LIMITED</v>
    <v>1029</v>
    <v>51.086399999999998</v>
    <v>1027.3499999999999</v>
    <v>1058.3</v>
    <v>1201283000</v>
    <v>ADANIENSOL</v>
    <v>ADANI ENERGY SOLUTIONS LIMITED (XNSE:ADANIENSOL)</v>
    <v>2138869</v>
    <v>857720</v>
    <v>2013</v>
  </rv>
  <rv s="2">
    <v>31</v>
  </rv>
  <rv s="0">
    <v>https://www.bing.com/financeapi/forcetrigger?t=ahis77&amp;q=XNSE%3aLTTS&amp;form=skydnc</v>
    <v>Learn more on Bing</v>
  </rv>
  <rv s="1">
    <v>0</v>
    <v>L&amp;T TECHNOLOGY SERVICES LIMITED (XNSE:LTTS)</v>
    <v>2</v>
    <v>3</v>
    <v>Finance</v>
    <v>4</v>
    <v>en-US</v>
    <v>ahis77</v>
    <v>268435456</v>
    <v>1</v>
    <v>9</v>
    <v>Powered by Refinitiv</v>
    <v>5645</v>
    <v>3951.3</v>
    <v>1.1718</v>
    <v>-63</v>
    <v>-1.4119E-2</v>
    <v>INR</v>
    <v>L&amp;T Technology Services Limited is an India-based engineering research and development (ER&amp;D) services provider. The Company offers consultancy, design, development and testing services across the product and process development lifecycle. It operates in three segments: Mobility, Sustainability, and Tech. The Mobility segment encompasses automotive, commercial vehicles and aerospace verticals. The Sustainability segment covers industrial machinery and building technology, electric and power, fast-moving consumer goods (FMCG), and oil and gas. The Tech segment includes Medical Technology (MedTech), Hi-Tech, Semiconductors, Consumer Electronics, Hyperscalers, SmartWorld, and NexGen Comm verticals. It operates its technology areas in three horizontals: Artificial Intelligence (AI) and Software Defined Everything (SDx), Embedded Systems, and Digital Manufacturing Solutions. It serves approximately 69 Fortune 500 companies and 57 Engineering Research and Development (ER&amp;D) companies.</v>
    <v>21028</v>
    <v>National Stock Exchange of India</v>
    <v>XNSE</v>
    <v>XNSE</v>
    <v>L&amp;T Technology Services Limited, 5th Floor, West Block-II, L&amp;T Knowledge City (IT/ITES) SEZ, VADODARA, GUJARAT, 390019 IN</v>
    <v>4515</v>
    <v>Construction &amp; Engineering</v>
    <v>Stock</v>
    <v>46023.330717592595</v>
    <v>33</v>
    <v>4391.5</v>
    <v>470433600000</v>
    <v>L&amp;T TECHNOLOGY SERVICES LIMITED</v>
    <v>L&amp;T TECHNOLOGY SERVICES LIMITED</v>
    <v>4463</v>
    <v>36.453400000000002</v>
    <v>4462.2</v>
    <v>4399.2</v>
    <v>105989300</v>
    <v>LTTS</v>
    <v>L&amp;T TECHNOLOGY SERVICES LIMITED (XNSE:LTTS)</v>
    <v>19111</v>
    <v>57280</v>
    <v>2012</v>
  </rv>
  <rv s="2">
    <v>34</v>
  </rv>
  <rv s="0">
    <v>https://www.bing.com/financeapi/forcetrigger?t=ahjo52&amp;q=XNSE%3aRELIANCE&amp;form=skydnc</v>
    <v>Learn more on Bing</v>
  </rv>
  <rv s="1">
    <v>0</v>
    <v>RELIANCE INDUSTRIES LIMITED (XNSE:RELIANCE)</v>
    <v>2</v>
    <v>3</v>
    <v>Finance</v>
    <v>4</v>
    <v>en-US</v>
    <v>ahjo52</v>
    <v>268435456</v>
    <v>1</v>
    <v>9</v>
    <v>Powered by Refinitiv</v>
    <v>1592.5</v>
    <v>1114.8499999999999</v>
    <v>1.2056</v>
    <v>3</v>
    <v>1.91E-3</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National Stock Exchange of India</v>
    <v>XNSE</v>
    <v>XNSE</v>
    <v>Maker Chambers IV, Nariman Point, MUMBAI, MAHARASHTRA, 400021 IN</v>
    <v>1592.5</v>
    <v>Oil &amp; Gas</v>
    <v>Stock</v>
    <v>46023.330752314818</v>
    <v>36</v>
    <v>1572.3</v>
    <v>20837300000000</v>
    <v>RELIANCE INDUSTRIES LIMITED</v>
    <v>RELIANCE INDUSTRIES LIMITED</v>
    <v>1573.7</v>
    <v>25.6219</v>
    <v>1570.4</v>
    <v>1573.4</v>
    <v>13532740000</v>
    <v>RELIANCE</v>
    <v>RELIANCE INDUSTRIES LIMITED (XNSE:RELIANCE)</v>
    <v>3562912</v>
    <v>8297320</v>
    <v>1973</v>
  </rv>
  <rv s="2">
    <v>37</v>
  </rv>
  <rv s="0">
    <v>https://www.bing.com/financeapi/forcetrigger?t=ahj3bh&amp;q=XNSE%3aMUTHOOTFIN&amp;form=skydnc</v>
    <v>Learn more on Bing</v>
  </rv>
  <rv s="1">
    <v>0</v>
    <v>MUTHOOT FINANCE LIMITED (XNSE:MUTHOOTFIN)</v>
    <v>2</v>
    <v>3</v>
    <v>Finance</v>
    <v>4</v>
    <v>en-US</v>
    <v>ahj3bh</v>
    <v>268435456</v>
    <v>1</v>
    <v>9</v>
    <v>Powered by Refinitiv</v>
    <v>3890</v>
    <v>1965</v>
    <v>1.028</v>
    <v>12.3</v>
    <v>3.2269999999999998E-3</v>
    <v>INR</v>
    <v>Muthoot Finance Limited is an India-based Non-Banking Financial Company (NBFC), which is engaged in the business of financing. The Company provides business loans secured by gold jewelry or gold loans. It also provides collection services, loan against property, and money transfer services. Its gold loan schemes include Muthoot One Percent Loan, Muthoot Ultimate Loan, Muthoot Delight Loan, Muthoot Mudra Loan, Muthoot Advantage Loan, Muthoot High Value Plus Loan, Muthoot High Value Loan, Muthoot Big Business Loans, Best Value Loan, and High Value Retention. The Company’s services include gold loan, loan at home, housing finance, personal loan, small business loan, insurance, small and medium-sized enterprises (SME) loans, corporate business loan, vehicle loan, mutual funds, non-convertible debentures (NCD), custom offers, pan card, micro finance, digital and cashless, milligram rewards, and national pension system (NPS).</v>
    <v>29221</v>
    <v>National Stock Exchange of India</v>
    <v>XNSE</v>
    <v>XNSE</v>
    <v>2Nd Floor Muthoot Chambers Opp Saritha Theatre Complex, ERNAKULAM, KERALA, 682018 IN</v>
    <v>3828</v>
    <v>Banking Services</v>
    <v>Stock</v>
    <v>46023.330717592595</v>
    <v>39</v>
    <v>3766.5</v>
    <v>1525219000000</v>
    <v>MUTHOOT FINANCE LIMITED</v>
    <v>MUTHOOT FINANCE LIMITED</v>
    <v>3801.5</v>
    <v>20.933199999999999</v>
    <v>3811.7</v>
    <v>3824</v>
    <v>401468500</v>
    <v>MUTHOOTFIN</v>
    <v>MUTHOOT FINANCE LIMITED (XNSE:MUTHOOTFIN)</v>
    <v>124720</v>
    <v>456300</v>
    <v>1997</v>
  </rv>
  <rv s="2">
    <v>40</v>
  </rv>
  <rv s="0">
    <v>https://www.bing.com/financeapi/forcetrigger?t=ahi59c&amp;q=XNSE%3aHINDALCO&amp;form=skydnc</v>
    <v>Learn more on Bing</v>
  </rv>
  <rv s="1">
    <v>0</v>
    <v>HINDALCO INDUSTRIES LIMITED (XNSE:HINDALCO)</v>
    <v>2</v>
    <v>3</v>
    <v>Finance</v>
    <v>4</v>
    <v>en-US</v>
    <v>ahi59c</v>
    <v>268435456</v>
    <v>1</v>
    <v>9</v>
    <v>Powered by Refinitiv</v>
    <v>895.25</v>
    <v>546.45000000000005</v>
    <v>1.5698000000000001</v>
    <v>6.1</v>
    <v>6.8789999999999997E-3</v>
    <v>INR</v>
    <v>Hindalco Industries Limited is an India-based metals flagship company. The Company is primarily engaged in the business of manufacturing and distribution of aluminium, copper, and its products across the globe. It operates through four segments: Novelis, Aluminium Upstream, Aluminium Downstream and Copper. The Novelis segment is engaged in producing and selling aluminium sheet and light gauge products and operating in four continents: North America, South America, Europe, and Asia. The Aluminium Upstream segment is engaged in bauxite and coal mining, alumina specials, refineries, metal, and power. The Aluminium Downstream segment includes aluminium value-added products, such as flat rolled products, extrusion, and foils. The Copper segment includes copper cathode, copper rods, precious metals, and di-ammonium phosphate. Its brands include Hindalco PrizTec, Hindalco Ecoedge C, Hindalco Ecoedge G, Hindalco Everlast, Eternia, Freshwrapp, FUSALOX and Totalis.</v>
    <v>24088</v>
    <v>National Stock Exchange of India</v>
    <v>XNSE</v>
    <v>XNSE</v>
    <v>Birla Centurion, 7th floor, Pandurang Budhkar Road, Worli, MUMBAI, MAHARASHTRA, 400030 IN</v>
    <v>895.25</v>
    <v>Metals &amp; Mining</v>
    <v>Stock</v>
    <v>46023.330729166664</v>
    <v>42</v>
    <v>882.45</v>
    <v>1976188000000</v>
    <v>HINDALCO INDUSTRIES LIMITED</v>
    <v>HINDALCO INDUSTRIES LIMITED</v>
    <v>888.1</v>
    <v>11.159700000000001</v>
    <v>886.7</v>
    <v>892.8</v>
    <v>2235128000</v>
    <v>HINDALCO</v>
    <v>HINDALCO INDUSTRIES LIMITED (XNSE:HINDALCO)</v>
    <v>1739605</v>
    <v>5655100</v>
    <v>1958</v>
  </rv>
  <rv s="2">
    <v>43</v>
  </rv>
  <rv s="0">
    <v>https://www.bing.com/financeapi/forcetrigger?t=ahkeim&amp;q=XNSE%3aTORNTPHARM&amp;form=skydnc</v>
    <v>Learn more on Bing</v>
  </rv>
  <rv s="1">
    <v>0</v>
    <v>TORRENT PHARMACEUTICALS LTD (XNSE:TORNTPHARM)</v>
    <v>2</v>
    <v>3</v>
    <v>Finance</v>
    <v>4</v>
    <v>en-US</v>
    <v>ahkeim</v>
    <v>268435456</v>
    <v>1</v>
    <v>9</v>
    <v>Powered by Refinitiv</v>
    <v>3882.2</v>
    <v>2886.45</v>
    <v>0.67559999999999998</v>
    <v>-9.9</v>
    <v>-2.5709999999999999E-3</v>
    <v>INR</v>
    <v>Torrent Pharmaceuticals Limited is an India-based pharmaceutical company. The Company is engaged in research, development, manufacturing, marketing and distribution of branded and generic pharmaceutical formulations in India and internationally. The Company is focused on various therapeutic segments, such as cardiovascular (CV), central nervous system (CNS), gastrointestinal (GI), vitamins minerals nutrients (VMN), anti-diabetes (AD), pain management, gynecology, and dermatology. Its pediatric product brands include Tedibar, Atogla, Spoo and B4 Nappi. Its Anti-diabetic products include Gliclazide 80 mg, Tablets, Gliclazide 30 mg, Tablets, Glimepiride 1, 2, 3, 4 mg, Tablets, and others. Its dermatologic therapy products include Macrotor, Ahaglow S Facewash, Fungicide Lotion, Hairjoy 2%, New Dewsoft Cream, Lookbrite 20GMS, Cortaz NC, Dermanex, and others. Its manufacturing facilities are located in the states of Gujarat, Himachal Pradesh, Madhya Pradesh, Andhra Pradesh and Sikkim.</v>
    <v>16107</v>
    <v>National Stock Exchange of India</v>
    <v>XNSE</v>
    <v>XNSE</v>
    <v>Torrent House, Off. Ashram Road, AHMEDABAD, GUJARAT, 380009 IN</v>
    <v>3863.5</v>
    <v>Pharmaceuticals</v>
    <v>Stock</v>
    <v>46023.330740740741</v>
    <v>45</v>
    <v>3815.1</v>
    <v>1293572000000</v>
    <v>TORRENT PHARMACEUTICALS LTD</v>
    <v>TORRENT PHARMACEUTICALS LTD</v>
    <v>3860</v>
    <v>60.731400000000001</v>
    <v>3850</v>
    <v>3840.1</v>
    <v>338445400</v>
    <v>TORNTPHARM</v>
    <v>TORRENT PHARMACEUTICALS LTD (XNSE:TORNTPHARM)</v>
    <v>19237</v>
    <v>166450</v>
    <v>1972</v>
  </rv>
  <rv s="2">
    <v>46</v>
  </rv>
  <rv s="0">
    <v>https://www.bing.com/financeapi/forcetrigger?t=ahinjc&amp;q=XNSE%3aKOTAKBANK&amp;form=skydnc</v>
    <v>Learn more on Bing</v>
  </rv>
  <rv s="1">
    <v>0</v>
    <v>KOTAK MAHINDRA BANK LIMITED (XNSE:KOTAKBANK)</v>
    <v>2</v>
    <v>3</v>
    <v>Finance</v>
    <v>4</v>
    <v>en-US</v>
    <v>ahinjc</v>
    <v>268435456</v>
    <v>1</v>
    <v>9</v>
    <v>Powered by Refinitiv</v>
    <v>2301.9</v>
    <v>1723.75</v>
    <v>0.91969999999999996</v>
    <v>7.9</v>
    <v>3.5890000000000002E-3</v>
    <v>INR</v>
    <v>Kotak Mahindra Bank Limited is an India-based diversified financial services company. The Company's segments include Corporate/Wholesale Banking; Retail Banking; Treasury, Balance Sheet Management Unit (BMU) and Corporate Centre; Vehicle Financing; Other Lending Activities; Broking; Advisory and Transactional Services; Asset Management, and Insurance. Corporate/Wholesale Banking segment includes wholesale borrowings and lending and other related services to the corporate sector. Retail Banking segment comprises of digital banking and other retail banking. Vehicle Financing segment includes retail vehicle financing and wholesale trade financing to auto dealers. Other Lending Activities segment includes securitization and other loans/services. Advisory and Transactional Services segment provides financial advisory and transactional services such as mergers and acquisition advice, equity/debt issue management services and business correspondent services.</v>
    <v>61170</v>
    <v>National Stock Exchange of India</v>
    <v>XNSE</v>
    <v>XNSE</v>
    <v>27Bkc, C 27, G Block, Bandra Kurla Complex, Bandra (E), MUMBAI, MAHARASHTRA, 400051 IN</v>
    <v>2216.1</v>
    <v>Banking Services</v>
    <v>Stock</v>
    <v>46023.330729166664</v>
    <v>48</v>
    <v>2189</v>
    <v>4281933000000</v>
    <v>KOTAK MAHINDRA BANK LIMITED</v>
    <v>KOTAK MAHINDRA BANK LIMITED</v>
    <v>2210</v>
    <v>23.6479</v>
    <v>2201.1</v>
    <v>2209</v>
    <v>2989099000</v>
    <v>KOTAKBANK</v>
    <v>KOTAK MAHINDRA BANK LIMITED (XNSE:KOTAKBANK)</v>
    <v>615345</v>
    <v>1911170</v>
    <v>1985</v>
  </rv>
  <rv s="2">
    <v>49</v>
  </rv>
  <rv s="0">
    <v>https://www.bing.com/financeapi/forcetrigger?t=ahh1k2&amp;q=XNSE%3aAUROPHARMA&amp;form=skydnc</v>
    <v>Learn more on Bing</v>
  </rv>
  <rv s="1">
    <v>0</v>
    <v>AUROBINDO PHARMA LTD (XNSE:AUROPHARMA)</v>
    <v>2</v>
    <v>3</v>
    <v>Finance</v>
    <v>4</v>
    <v>en-US</v>
    <v>ahh1k2</v>
    <v>268435456</v>
    <v>1</v>
    <v>9</v>
    <v>Powered by Refinitiv</v>
    <v>1356.2</v>
    <v>1010</v>
    <v>0.73299999999999998</v>
    <v>2.2000000000000002</v>
    <v>1.8599999999999999E-3</v>
    <v>INR</v>
    <v>Aurobindo Pharma Limited is an India-based pharmaceutical company. The Company is principally engaged in manufacturing and marketing of active pharmaceutical ingredients, branded pharmaceuticals, generic pharmaceuticals, and related services. Its Key therapeutic segments include Central nervous systems (CNS), Antiretrovirals (ARVs), Cardiovascular (CVS), SSP - Orals and Sterile, Anti-infectives, Anti-diabetics and Cephalosporins - Orals. It is engaged in developing a range of oncology and hormonal products. It is developing topical as well as transdermal products in the dermatology therapeutic segment. The Company is marketing its products globally in approximately 150 countries. The Company's subsidiaries include APL Healthcare Limited, Auronext Pharma Private Limited, Auro Peptides Limited, APL Pharma Thai Limited, Auro Pharma Inc, Aurobindo Pharma (Malta) Limited, APL Swift Services (Malta) Limited, Aurobindo Pharma Industria Farmaceutica Ltda, and others.</v>
    <v>9107</v>
    <v>National Stock Exchange of India</v>
    <v>XNSE</v>
    <v>XNSE</v>
    <v>Galaxy, Floors: 22-24,, Plot No.1, Survey No.83/1,, Hyderabad Knowledge City, Raidurg Panmaktha, Ranga Reddy District,, HYDERABAD, TELANGANA, 500032 IN</v>
    <v>1190</v>
    <v>Pharmaceuticals</v>
    <v>Stock</v>
    <v>46023.330763888887</v>
    <v>51</v>
    <v>1170.2</v>
    <v>689004900000</v>
    <v>AUROBINDO PHARMA LTD</v>
    <v>AUROBINDO PHARMA LTD</v>
    <v>1190</v>
    <v>20.322900000000001</v>
    <v>1183</v>
    <v>1185.2</v>
    <v>580801600</v>
    <v>AUROPHARMA</v>
    <v>AUROBINDO PHARMA LTD (XNSE:AUROPHARMA)</v>
    <v>285254</v>
    <v>744920</v>
    <v>1986</v>
  </rv>
  <rv s="2">
    <v>52</v>
  </rv>
  <rv s="0">
    <v>https://www.bing.com/financeapi/forcetrigger?t=ahicim&amp;q=XNSE%3aINFY&amp;form=skydnc</v>
    <v>Learn more on Bing</v>
  </rv>
  <rv s="1">
    <v>0</v>
    <v>INFOSYS LIMITED (XNSE:INFY)</v>
    <v>2</v>
    <v>3</v>
    <v>Finance</v>
    <v>4</v>
    <v>en-US</v>
    <v>ahicim</v>
    <v>268435456</v>
    <v>1</v>
    <v>9</v>
    <v>Powered by Refinitiv</v>
    <v>1982.8</v>
    <v>1307</v>
    <v>0.82299999999999995</v>
    <v>18.2</v>
    <v>1.1267000000000001E-2</v>
    <v>INR</v>
    <v>Infosys Limited is an India-based company, which provides digital services and consulting. The Company enables clients in approximately 59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331991</v>
    <v>National Stock Exchange of India</v>
    <v>XNSE</v>
    <v>XNSE</v>
    <v>Electronics City Hosur Rd, BANGALORE, KARNATAKA, 560100 IN</v>
    <v>1639.6</v>
    <v>Software &amp; IT Services</v>
    <v>Stock</v>
    <v>46023.330706018518</v>
    <v>54</v>
    <v>1614.1</v>
    <v>6560307000000</v>
    <v>INFOSYS LIMITED</v>
    <v>INFOSYS LIMITED</v>
    <v>1615.4</v>
    <v>24.0671</v>
    <v>1615.4</v>
    <v>1633.6</v>
    <v>4045576000</v>
    <v>INFY</v>
    <v>INFOSYS LIMITED (XNSE:INFY)</v>
    <v>1938687</v>
    <v>7947160</v>
    <v>1981</v>
  </rv>
  <rv s="2">
    <v>55</v>
  </rv>
  <rv s="0">
    <v>https://www.bing.com/financeapi/forcetrigger?t=ahh7a2&amp;q=XNSE%3aBHARTIARTL&amp;form=skydnc</v>
    <v>Learn more on Bing</v>
  </rv>
  <rv s="1">
    <v>0</v>
    <v>Bharti Airtel Limited (XNSE:BHARTIARTL)</v>
    <v>2</v>
    <v>3</v>
    <v>Finance</v>
    <v>4</v>
    <v>en-US</v>
    <v>ahh7a2</v>
    <v>268435456</v>
    <v>1</v>
    <v>9</v>
    <v>Powered by Refinitiv</v>
    <v>2174.5</v>
    <v>1559.5</v>
    <v>0.71840000000000004</v>
    <v>7.7</v>
    <v>3.6570000000000001E-3</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709 channels including 99 HD channels, 67 SVOD services, four international channels and five interactive services. Its Airtel Business segment offers fixed-line voice (PRIs), data and other connectivity solutions, such as Multi-Protocol Label Switching, Voice over Internet Protocol, SIP trucking. Its South Asia segment represents its operation in Bangladesh.</v>
    <v>28701</v>
    <v>National Stock Exchange of India</v>
    <v>XNSE</v>
    <v>XNSE</v>
    <v>Bharti Crescent 1 Nelson Mandela Road, Vasant Kunj, Phase II, NEW DELHI, DELHI, 110070 IN</v>
    <v>2123.9</v>
    <v>Telecommunications Services</v>
    <v>Stock</v>
    <v>46023.330729166664</v>
    <v>57</v>
    <v>2110</v>
    <v>12626460000000</v>
    <v>Bharti Airtel Limited</v>
    <v>Bharti Airtel Limited</v>
    <v>2114.8000000000002</v>
    <v>31.7592</v>
    <v>2105.6</v>
    <v>2113.3000000000002</v>
    <v>6091080000</v>
    <v>BHARTIARTL</v>
    <v>Bharti Airtel Limited (XNSE:BHARTIARTL)</v>
    <v>1009758</v>
    <v>5163640</v>
    <v>1995</v>
  </rv>
  <rv s="2">
    <v>58</v>
  </rv>
  <rv s="0">
    <v>https://www.bing.com/financeapi/forcetrigger?t=ahgr6h&amp;q=XNSE%3aADANIPORTS&amp;form=skydnc</v>
    <v>Learn more on Bing</v>
  </rv>
  <rv s="1">
    <v>0</v>
    <v>ADANI PORTS AND SPECIAL ECONOMIC ZONE LIMITED (XNSE:ADANIPORTS)</v>
    <v>2</v>
    <v>3</v>
    <v>Finance</v>
    <v>4</v>
    <v>en-US</v>
    <v>ahgr6h</v>
    <v>268435456</v>
    <v>1</v>
    <v>9</v>
    <v>Powered by Refinitiv</v>
    <v>1549</v>
    <v>1010.75</v>
    <v>1.4246000000000001</v>
    <v>11.7</v>
    <v>7.9600000000000001E-3</v>
    <v>INR</v>
    <v>Adani Ports and Special Economic Zone Limited is an India-based integrated ports and logistics company. The Company's segments include port and special economic zone (SEZ) activities, and other. The port and SEZ activities segment, which includes developing, operating and maintaining the port services, port related infrastructure development activities and development of infrastructure in a contiguous special economic zone. The Other Segment mainly includes Aircraft Operating Income, Warehousing and transportation of food grains. Its presence across 13 domestic ports in seven maritime states of Gujarat, Maharashtra, Goa, Kerala, Andhra Pradesh, Tamil Nadu and Odisha. The ports are equipped to handle diverse cargos, from dry cargo, liquid cargo, and crude to containers. Its ports &amp; terminals include Gangavaram Port, Karaikal Port, Krishnapatnam Port, Mundra Port, Gopalpur Port, and others. It also owns NQXT, a natural deep-water, multi-user export terminal.</v>
    <v>3118</v>
    <v>National Stock Exchange of India</v>
    <v>XNSE</v>
    <v>XNSE</v>
    <v>Adani Corporate House, Shantigram, Near Vaishno Devi Circle, S. G. Highway, Khodiyar, AHMEDABAD, GUJARAT, 382421 IN</v>
    <v>1490.9</v>
    <v>Transport Infrastructure</v>
    <v>Stock</v>
    <v>46023.330706018518</v>
    <v>60</v>
    <v>1470.4</v>
    <v>3366545000000</v>
    <v>ADANI PORTS AND SPECIAL ECONOMIC ZONE LIMITED</v>
    <v>ADANI PORTS AND SPECIAL ECONOMIC ZONE LIMITED</v>
    <v>1472.8</v>
    <v>26.766300000000001</v>
    <v>1469.8</v>
    <v>1481.5</v>
    <v>2303959000</v>
    <v>ADANIPORTS</v>
    <v>ADANI PORTS AND SPECIAL ECONOMIC ZONE LIMITED (XNSE:ADANIPORTS)</v>
    <v>738131</v>
    <v>1331870</v>
    <v>1998</v>
  </rv>
  <rv s="2">
    <v>61</v>
  </rv>
  <rv s="0">
    <v>https://www.bing.com/financeapi/forcetrigger?t=ahh2gh&amp;q=XNSE%3aAXISBANK&amp;form=skydnc</v>
    <v>Learn more on Bing</v>
  </rv>
  <rv s="1">
    <v>0</v>
    <v>Axis Bank Limited (XNSE:AXISBANK)</v>
    <v>2</v>
    <v>3</v>
    <v>Finance</v>
    <v>4</v>
    <v>en-US</v>
    <v>ahh2gh</v>
    <v>268435456</v>
    <v>1</v>
    <v>9</v>
    <v>Powered by Refinitiv</v>
    <v>1304</v>
    <v>933.5</v>
    <v>1.1532</v>
    <v>5.6</v>
    <v>4.4120000000000001E-3</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1278</v>
    <v>Banking Services</v>
    <v>Stock</v>
    <v>46023.330717592595</v>
    <v>63</v>
    <v>1263.8</v>
    <v>3868819000000</v>
    <v>Axis Bank Limited</v>
    <v>Axis Bank Limited</v>
    <v>1270</v>
    <v>15.1958</v>
    <v>1269.4000000000001</v>
    <v>1275</v>
    <v>3104991000</v>
    <v>AXISBANK</v>
    <v>Axis Bank Limited (XNSE:AXISBANK)</v>
    <v>1080550</v>
    <v>4321640</v>
    <v>1993</v>
  </rv>
  <rv s="2">
    <v>64</v>
  </rv>
  <rv s="0">
    <v>https://creativecommons.org/licenses/by-sa/4.0</v>
    <v>CC BY-SA 4.0</v>
  </rv>
  <rv s="0">
    <v>http://ja.wikipedia.org/wiki/バジャージ・オート</v>
    <v>Wikipedia</v>
  </rv>
  <rv s="3">
    <v>66</v>
    <v>67</v>
  </rv>
  <rv s="4">
    <v>9</v>
    <v>https://www.bing.com/th?id=AMMS_bf8c7b0a287214e88ed81aee6f721048&amp;qlt=95</v>
    <v>68</v>
    <v>0</v>
    <v>https://www.bing.com/images/search?form=xlimg&amp;q=bajaj+auto</v>
    <v>Image of BAJAJ AUTO LIMITED.</v>
  </rv>
  <rv s="0">
    <v>https://www.bing.com/financeapi/forcetrigger?t=ahh31h&amp;q=XNSE%3aBAJAJ-AUTO&amp;form=skydnc</v>
    <v>Learn more on Bing</v>
  </rv>
  <rv s="5">
    <v>5</v>
    <v>BAJAJ AUTO LIMITED. (XNSE:BAJAJ-AUTO)</v>
    <v>7</v>
    <v>8</v>
    <v>Finance</v>
    <v>4</v>
    <v>en-US</v>
    <v>ahh31h</v>
    <v>268435456</v>
    <v>1</v>
    <v>9</v>
    <v>Powered by Refinitiv</v>
    <v>9490</v>
    <v>7089.35</v>
    <v>0.80079999999999996</v>
    <v>109.5</v>
    <v>1.172E-2</v>
    <v>INR</v>
    <v>Bajaj Auto Limited is an India-based company, which is engaged in the business of the development, manufacturing, and distribution of automobiles, such as motorcycles, commercial vehicles, electric vehicles, and parts. It is a manufacturer of two-wheelers, three-wheelers, and quadri-cycles. The Company sells its products in India as well as in various other global markets. Its segments include Automotive, Investments, and Financing. The Automotive segment includes all activities related to the development, design, manufacture, assembly, and sale of two-wheelers/three-wheelers as well as the sale of related parts and accessories. Its motorcycles include Boxer, CT, Platina, Discover, Pulsar, Avenger, KTM, Dominar, Husqvarna, and KTM. Its commercial vehicles include Passenger Carriers, Good Carriers, and Quadricycle. Its three-wheeler vehicles include GoGo, RE, Maxima Z, Maxima X Wide, and Maxima C. Its subsidiaries include Bajaj Auto Credit Ltd., Chetak Technology Ltd., and others.</v>
    <v>5598</v>
    <v>National Stock Exchange of India</v>
    <v>XNSE</v>
    <v>XNSE</v>
    <v>Akurdi,, PUNE, MAHARASHTRA, 411035 IN</v>
    <v>9455</v>
    <v>69</v>
    <v>Automobiles &amp; Auto Parts</v>
    <v>Stock</v>
    <v>46023.330717592595</v>
    <v>70</v>
    <v>9318.5</v>
    <v>2593971000000</v>
    <v>BAJAJ AUTO LIMITED.</v>
    <v>BAJAJ AUTO LIMITED.</v>
    <v>9365</v>
    <v>31.673200000000001</v>
    <v>9343</v>
    <v>9452.5</v>
    <v>279462600</v>
    <v>BAJAJ-AUTO</v>
    <v>BAJAJ AUTO LIMITED. (XNSE:BAJAJ-AUTO)</v>
    <v>106512</v>
    <v>268430</v>
    <v>2007</v>
  </rv>
  <rv s="2">
    <v>71</v>
  </rv>
  <rv s="0">
    <v>https://www.bing.com/financeapi/forcetrigger?t=ahh9h7&amp;q=XNSE%3aBPCL&amp;form=skydnc</v>
    <v>Learn more on Bing</v>
  </rv>
  <rv s="1">
    <v>0</v>
    <v>BHARAT PETROLEUM CORPORATION LIMITED (XNSE:BPCL)</v>
    <v>2</v>
    <v>3</v>
    <v>Finance</v>
    <v>4</v>
    <v>en-US</v>
    <v>ahh9h7</v>
    <v>268435456</v>
    <v>1</v>
    <v>9</v>
    <v>Powered by Refinitiv</v>
    <v>388.15</v>
    <v>234.01</v>
    <v>1.3662000000000001</v>
    <v>-4.4000000000000004</v>
    <v>-1.1457999999999999E-2</v>
    <v>INR</v>
    <v>Bharat Petroleum Corporation Limited is an India-based company, which is engaged in the refining of crude oil and marketing of petroleum products. Its segments include Downstream Petroleum and Exploration &amp; Production of Hydrocarbons. Its businesses include fuels and services, Bharatgas, MAK lubricants, aviation services, gas, industrial and commercial, international trade, proficiency testing, and pipelines. It has a variety of product offerings, like petrol, diesel, automotive LPG and CNG along with premium petrol products like Speed and Speed 97. It offers specialized fuel station formats like Ghar, Highway Star, Pure for Sure, and other such services. MAK Lubricants provides lubricants and greases in India and international markets. It has refineries in Mumbai, Kochi and Bina, LPG bottling plants and Lube blending plants at various locations. Its marketing infrastructure includes a network of installations, depots, retail outlets, aviation fueling stations and LPG distributors.</v>
    <v>8747</v>
    <v>National Stock Exchange of India</v>
    <v>XNSE</v>
    <v>XNSE</v>
    <v>Bharat Bhavan, 4 &amp; 6, Currimbhoy Road, Ballard Estate, MUMBAI, MAHARASHTRA, 400001 IN</v>
    <v>388.15</v>
    <v>Oil &amp; Gas</v>
    <v>Stock</v>
    <v>46023.330694444441</v>
    <v>73</v>
    <v>379.15</v>
    <v>1603078000000</v>
    <v>BHARAT PETROLEUM CORPORATION LIMITED</v>
    <v>BHARAT PETROLEUM CORPORATION LIMITED</v>
    <v>386.4</v>
    <v>7.6414999999999997</v>
    <v>384</v>
    <v>379.6</v>
    <v>4338505000</v>
    <v>BPCL</v>
    <v>BHARAT PETROLEUM CORPORATION LIMITED (XNSE:BPCL)</v>
    <v>4692942</v>
    <v>4750120</v>
    <v>1952</v>
  </rv>
  <rv s="2">
    <v>74</v>
  </rv>
  <rv s="0">
    <v>https://www.bing.com/financeapi/forcetrigger?t=ahibur&amp;q=XNSE%3aINDUSINDBK&amp;form=skydnc</v>
    <v>Learn more on Bing</v>
  </rv>
  <rv s="1">
    <v>0</v>
    <v>INDUSIND BANK LTD. (XNSE:INDUSINDBK)</v>
    <v>2</v>
    <v>3</v>
    <v>Finance</v>
    <v>4</v>
    <v>en-US</v>
    <v>ahibur</v>
    <v>268435456</v>
    <v>1</v>
    <v>9</v>
    <v>Powered by Refinitiv</v>
    <v>1086.55</v>
    <v>606</v>
    <v>1.3389</v>
    <v>21.8</v>
    <v>2.5226000000000002E-2</v>
    <v>INR</v>
    <v>IndusInd Bank Limited (the Bank) is engaged in providing financial services. The Bank offers a wide range of products and services for individuals and corporates, including microfinance, personal loans, personal and commercial vehicle loans, credit cards and small to medium enterprise (SME) loans. The Bank's segments include Treasury, Corporate/ Wholesale Banking, Retail Banking, and Other Banking Operation. The Treasury segment includes all investment portfolios, profit/ loss on sale of investments, profit/ loss on foreign exchange transactions, equities, income from derivatives and money market operations. The Corporate/ Wholesale Banking segment includes lending to and deposits from corporate customers and identified earnings and expenses of the segment. The Retail Banking segment includes lending to and deposits from retail customers and identifies earnings and expenses of the segment. The Retail Banking segment is sub-divided into Digital Banking and Other Retail Banking segment.</v>
    <v>44974</v>
    <v>National Stock Exchange of India</v>
    <v>XNSE</v>
    <v>XNSE</v>
    <v>8th floor, Tower 1, One World Center, Senapati Bapat Marg, Elphinstone Road (W), MUMBAI, MAHARASHTRA, 400013 IN</v>
    <v>888.85</v>
    <v>Banking Services</v>
    <v>Stock</v>
    <v>46023.330740740741</v>
    <v>76</v>
    <v>863.5</v>
    <v>655592400000</v>
    <v>INDUSIND BANK LTD.</v>
    <v>INDUSIND BANK LTD.</v>
    <v>865.45</v>
    <v>0</v>
    <v>864.2</v>
    <v>886</v>
    <v>779076000</v>
    <v>INDUSINDBK</v>
    <v>INDUSIND BANK LTD. (XNSE:INDUSINDBK)</v>
    <v>2572153</v>
    <v>3099660</v>
    <v>1994</v>
  </rv>
  <rv s="2">
    <v>77</v>
  </rv>
  <rv s="0">
    <v>https://www.bing.com/financeapi/forcetrigger?t=ahj63m&amp;q=XNSE%3aNESTLEIND&amp;form=skydnc</v>
    <v>Learn more on Bing</v>
  </rv>
  <rv s="1">
    <v>0</v>
    <v>NESTLE INDIA LIMITED (XNSE:NESTLEIND)</v>
    <v>2</v>
    <v>3</v>
    <v>Finance</v>
    <v>4</v>
    <v>en-US</v>
    <v>ahj63m</v>
    <v>268435456</v>
    <v>1</v>
    <v>9</v>
    <v>Powered by Refinitiv</v>
    <v>1311.6</v>
    <v>1055</v>
    <v>0.95050000000000001</v>
    <v>8.5</v>
    <v>6.5990000000000007E-3</v>
    <v>INR</v>
    <v>Nestle India Limited is an India-based company that is engaged in the food business. The Company's product categories include milk products and nutrition, prepared dishes and cooking aids, powdered and liquid beverages, and confectionery. Its milk and nutrition products include dairy whitener, condensed milk, ultra heat treatment milk, yoghurt, maternal and infant formula, baby foods, and health care nutrition. Its dishes and cooking aid products include noodles, sauces, seasonings, pasta, cereals and pet food. Its powdered and liquid beverages include instant coffee, instant tea and ready to drink beverages. The Company's confectionery products include bar count lines, tablets and sugar confectionery. The Company's brands include NESCAFE, MAGGI, MILKYBAR, KIT KAT, MUNCH, MILKMAID, GERBER and LACTOGROW. Its coffee products include NESCAFE Classic, NESCAFE Sunrise and NESCAFE GOLD. Its pet food portfolio includes PURINA Friskies and PURINA Fancy Feast in the dry and wet cat food range.</v>
    <v>8419</v>
    <v>National Stock Exchange of India</v>
    <v>XNSE</v>
    <v>XNSE</v>
    <v>Nestle House, Jacaranda Marg M Block, DLF City Phase II, National Highway 8, GURGAON, HARYANA, 122002 IN</v>
    <v>1299</v>
    <v>Food &amp; Tobacco</v>
    <v>Stock</v>
    <v>46023.330694444441</v>
    <v>79</v>
    <v>1284</v>
    <v>2456865000000</v>
    <v>NESTLE INDIA LIMITED</v>
    <v>NESTLE INDIA LIMITED</v>
    <v>1293</v>
    <v>84.655600000000007</v>
    <v>1288</v>
    <v>1296.5</v>
    <v>1928314000</v>
    <v>NESTLEIND</v>
    <v>NESTLE INDIA LIMITED (XNSE:NESTLEIND)</v>
    <v>692786</v>
    <v>958260</v>
    <v>1959</v>
  </rv>
  <rv s="2">
    <v>80</v>
  </rv>
  <rv s="0">
    <v>https://www.bing.com/financeapi/forcetrigger?t=ahju6h&amp;q=XNSE%3aSBIN&amp;form=skydnc</v>
    <v>Learn more on Bing</v>
  </rv>
  <rv s="6">
    <v>10</v>
    <v>State Bank of India (XNSE:SBIN)</v>
    <v>2</v>
    <v>11</v>
    <v>Finance</v>
    <v>4</v>
    <v>en-US</v>
    <v>ahju6h</v>
    <v>268435456</v>
    <v>1</v>
    <v>9</v>
    <v>Powered by Refinitiv</v>
    <v>999</v>
    <v>680</v>
    <v>1.2613000000000001</v>
    <v>1.95</v>
    <v>1.9850000000000002E-3</v>
    <v>INR</v>
    <v>State Bank of India is an India-based banking and financial services provider. The Company is engaged in providing a wide range of products and services to individuals, commercial enterprises, corporates, public bodies and institutional customers. The Company has a digital platform, YONO 2.0, which is designed to reduce customer acquisition costs by a factor of ten compared to traditional banking methods.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 Retail Banking Segment is engaged in personal banking activities including lending activities to corporate customers having banking relations with its branches.</v>
    <v>236226</v>
    <v>National Stock Exchange of India</v>
    <v>XNSE</v>
    <v>XNSE</v>
    <v>Corporate Centre,14th Floor, State Bank Bhavan, Madame Cama Marg, MUMBAI, MAHARASHTRA, 400021 IN</v>
    <v>986.9</v>
    <v>Banking Services</v>
    <v>Stock</v>
    <v>46023.330740740741</v>
    <v>82</v>
    <v>980.35</v>
    <v>8985545000000</v>
    <v>State Bank of India</v>
    <v>State Bank of India</v>
    <v>983.2</v>
    <v>10.978</v>
    <v>982.2</v>
    <v>984.15</v>
    <v>9230617000</v>
    <v>SBIN</v>
    <v>State Bank of India (XNSE:SBIN)</v>
    <v>2141393</v>
    <v>6185380</v>
  </rv>
  <rv s="2">
    <v>83</v>
  </rv>
  <rv s="0">
    <v>https://www.bing.com/financeapi/forcetrigger?t=ahkb6h&amp;q=XNSE%3aTECHM&amp;form=skydnc</v>
    <v>Learn more on Bing</v>
  </rv>
  <rv s="1">
    <v>0</v>
    <v>TECH MAHINDRA LIMITED (XNSE:TECHM)</v>
    <v>2</v>
    <v>3</v>
    <v>Finance</v>
    <v>4</v>
    <v>en-US</v>
    <v>ahkb6h</v>
    <v>268435456</v>
    <v>1</v>
    <v>9</v>
    <v>Powered by Refinitiv</v>
    <v>1773.6</v>
    <v>1209.4000000000001</v>
    <v>1.0689</v>
    <v>18.600000000000001</v>
    <v>1.1691E-2</v>
    <v>INR</v>
    <v>Tech Mahindra Limited is a global consulting service and systems integrator. The Company specializes in digital transformation, consulting, and business re-engineering, with digital competencies encompassing next-generation technologies. It operates through two segments: Information Technology (IT) and Business Process Services (BPS). Its BPS offers conversational Artificial intelligence, analytics, and cloud-based solutions. Its geographical segments include the Americas, the Europe region, India, and the Rest of the world. Its capabilities include TechM Consulting, Application Services, Cloud &amp; Infrastructure Services, Engineering Services, Network Services, Data Analytics, Digital Enterprise Applications, Business Process Services, Next Gen Services, and Sustainability Services. It serves industries, including communications, energy and utilities, healthcare and life sciences, insurance, manufacturing, media and entertainment, oil and gas, private equity, and professional services.</v>
    <v>152714</v>
    <v>National Stock Exchange of India</v>
    <v>XNSE</v>
    <v>XNSE</v>
    <v>Sharda Centre, Off Karve Road, PUNE, MAHARASHTRA, 411004 IN</v>
    <v>1613.5</v>
    <v>Software &amp; IT Services</v>
    <v>Stock</v>
    <v>46023.330717592595</v>
    <v>85</v>
    <v>1587.2</v>
    <v>1572061000000</v>
    <v>TECH MAHINDRA LIMITED</v>
    <v>TECH MAHINDRA LIMITED</v>
    <v>1591</v>
    <v>31.7926</v>
    <v>1590.9</v>
    <v>1609.5</v>
    <v>979721300</v>
    <v>TECHM</v>
    <v>TECH MAHINDRA LIMITED (XNSE:TECHM)</v>
    <v>398684</v>
    <v>1204190</v>
    <v>1986</v>
  </rv>
  <rv s="2">
    <v>86</v>
  </rv>
  <rv s="0">
    <v>https://www.bing.com/financeapi/forcetrigger?t=ahkok2&amp;q=XNSE%3aWIPRO&amp;form=skydnc</v>
    <v>Learn more on Bing</v>
  </rv>
  <rv s="1">
    <v>0</v>
    <v>WIPRO LIMITED (XNSE:WIPRO)</v>
    <v>2</v>
    <v>3</v>
    <v>Finance</v>
    <v>4</v>
    <v>en-US</v>
    <v>ahkok2</v>
    <v>268435456</v>
    <v>1</v>
    <v>9</v>
    <v>Powered by Refinitiv</v>
    <v>324.60000000000002</v>
    <v>228</v>
    <v>0.81710000000000005</v>
    <v>3.57</v>
    <v>1.3560000000000001E-2</v>
    <v>INR</v>
    <v>Wipro Limited is a technology services and consulting company. The Company operates through two segments: Information Technology (IT) Services, and IT Products. IT Services segment provides a range of IT and IT enabled services which include digital strategy advisory, customer centric design, technology consulting, IT consulting, custom application design, re-engineering and maintenance, systems integration, package implementation, cloud and infrastructure services, business process services, cloud, mobility and analytics services, research and development and hardware and software design. The IT Products segment provides a range of third-party IT products, which allows it to offer IT system integration services. These products include computing, platforms and storage, networking solutions, and software products. Its services include Applications, Artificial Intelligence, Business Process, Cloud, Consulting, Data &amp; Analytics, Digital Experiences, Engineering, and Sustainability.</v>
    <v>235492</v>
    <v>National Stock Exchange of India</v>
    <v>XNSE</v>
    <v>XNSE</v>
    <v>Survey #76P &amp; #80P Doddakanahalli Villag, Varthur Hobli Sarjapur Rd, BANGALORE, KARNATAKA, 560035 IN</v>
    <v>268.05</v>
    <v>Software &amp; IT Services</v>
    <v>Stock</v>
    <v>46023.330729166664</v>
    <v>88</v>
    <v>263.75</v>
    <v>2761710000000</v>
    <v>WIPRO LIMITED</v>
    <v>WIPRO LIMITED</v>
    <v>264.5</v>
    <v>20.689399999999999</v>
    <v>263.27999999999997</v>
    <v>266.85000000000002</v>
    <v>10474910000</v>
    <v>WIPRO</v>
    <v>WIPRO LIMITED (XNSE:WIPRO)</v>
    <v>2520473</v>
    <v>6835500</v>
    <v>1945</v>
  </rv>
  <rv s="2">
    <v>89</v>
  </rv>
  <rv s="0">
    <v>https://www.bing.com/financeapi/forcetrigger?t=ahh4nm&amp;q=XNSE%3aBANKBARODA&amp;form=skydnc</v>
    <v>Learn more on Bing</v>
  </rv>
  <rv s="1">
    <v>0</v>
    <v>THE BANK OF BARODA LIMITED (XNSE:BANKBARODA)</v>
    <v>2</v>
    <v>3</v>
    <v>Finance</v>
    <v>4</v>
    <v>en-US</v>
    <v>ahh4nm</v>
    <v>268435456</v>
    <v>1</v>
    <v>9</v>
    <v>Powered by Refinitiv</v>
    <v>303.95</v>
    <v>190.7</v>
    <v>1.2985</v>
    <v>4</v>
    <v>1.3517999999999999E-2</v>
    <v>INR</v>
    <v>The Bank of Baroda Limited is engaged in providing banking and financial services in India. Its segments include Treasury, Corporate / Wholesale Banking, Retail Banking, and Other Banking Operations. Its geographical segment includes Domestic Operations and Foreign Operations. It offers personal banking services, which include savings accounts, current accounts, and term deposits. It provides a range of digital products, such as bob world merchant (POS), bob world tab, bobworld digital rupee, debit card e-mandate, tokenisation, instant banking, cards, FASTag, phone banking, doorstep banking, automated teller machines (ATMs) and kiosks, and others. It offers a range of loans, such as home loans, vehicle loans, personal loans, baroda yoddha loans for defense personnel, education loans, other loans, gold loans, mortgage loans, and fintech. It offers range of insurance, such as general insurance, life insurance, and standalone health insurance. The Bank has 8,463 branches, and 9,316 ATMs.</v>
    <v>75008</v>
    <v>National Stock Exchange of India</v>
    <v>XNSE</v>
    <v>XNSE</v>
    <v>Baroda Corporate Centre, Plot No. C-26, Block G, Bandra Kurla Complex, Bandra (East), MUMBAI, MAHARASHTRA, 400051 IN</v>
    <v>302.89999999999998</v>
    <v>Banking Services</v>
    <v>Stock</v>
    <v>46023.330694444441</v>
    <v>91</v>
    <v>295.64999999999998</v>
    <v>1515209000000</v>
    <v>THE BANK OF BARODA LIMITED</v>
    <v>THE BANK OF BARODA LIMITED</v>
    <v>296.5</v>
    <v>8.0617999999999999</v>
    <v>295.89999999999998</v>
    <v>299.89999999999998</v>
    <v>5171362000</v>
    <v>BANKBARODA</v>
    <v>THE BANK OF BARODA LIMITED (XNSE:BANKBARODA)</v>
    <v>6295746</v>
    <v>6759910</v>
    <v>1911</v>
  </rv>
  <rv s="2">
    <v>92</v>
  </rv>
  <rv s="0">
    <v>http://en.wikipedia.org/wiki/Public_domain</v>
    <v>Public domain</v>
  </rv>
  <rv s="0">
    <v>http://en.wikipedia.org/wiki/Canara_Bank</v>
    <v>Wikipedia</v>
  </rv>
  <rv s="3">
    <v>94</v>
    <v>95</v>
  </rv>
  <rv s="4">
    <v>9</v>
    <v>https://www.bing.com/th?id=AMMS_c85087fd4a4a5af8fc014bd99fcebd02&amp;qlt=95</v>
    <v>96</v>
    <v>0</v>
    <v>https://www.bing.com/images/search?form=xlimg&amp;q=canara+bank</v>
    <v>Image of THE CANARA BANK LIMITED</v>
  </rv>
  <rv s="0">
    <v>https://www.bing.com/financeapi/forcetrigger?t=ahhb77&amp;q=XNSE%3aCANBK&amp;form=skydnc</v>
    <v>Learn more on Bing</v>
  </rv>
  <rv s="5">
    <v>5</v>
    <v>THE CANARA BANK LIMITED (XNSE:CANBK)</v>
    <v>7</v>
    <v>8</v>
    <v>Finance</v>
    <v>4</v>
    <v>en-US</v>
    <v>ahhb77</v>
    <v>268435456</v>
    <v>1</v>
    <v>9</v>
    <v>Powered by Refinitiv</v>
    <v>158</v>
    <v>78.599999999999994</v>
    <v>1.6346000000000001</v>
    <v>-0.88</v>
    <v>-5.6810000000000003E-3</v>
    <v>INR</v>
    <v>The Canara Bank Limited (the Bank) is an India-based bank. The Bank’s segments include Treasury Operations, Retail Banking Operations, Wholesale Banking Operations, Life Insurance Operations and Other Banking Operations. Its Retail Banking Operations include Digital Banking and Other Retail Banking. Its products and services include personal banking and corporate banking. Its personal banking includes depository services, mutual funds, technology products, retail loan products, micro, small and medium enterprise loan products and card services. Its corporate banking includes accounts and deposits, supply chain finance management, syndication services and technology upgradation fund schemes, among others. It also offers the depository services. It offers unbanked rural people with basic savings deposit accounts, PMJDY Overdraft Facilities and credit facilities under products, such as differential rate of interest scheme, Kisan Credit Card Scheme and various other credit products.</v>
    <v>81260</v>
    <v>National Stock Exchange of India</v>
    <v>XNSE</v>
    <v>XNSE</v>
    <v>Head Office No.112, J C Road, BANGALORE, KARNATAKA, 560002 IN</v>
    <v>156.28</v>
    <v>97</v>
    <v>Banking Services</v>
    <v>Stock</v>
    <v>46023.330706018518</v>
    <v>98</v>
    <v>153.79</v>
    <v>1397152000000</v>
    <v>THE CANARA BANK LIMITED</v>
    <v>THE CANARA BANK LIMITED</v>
    <v>155</v>
    <v>7.2911000000000001</v>
    <v>154.91</v>
    <v>154.03</v>
    <v>9070651000</v>
    <v>CANBK</v>
    <v>THE CANARA BANK LIMITED (XNSE:CANBK)</v>
    <v>13045051</v>
    <v>23951710</v>
    <v>1906</v>
  </rv>
  <rv s="2">
    <v>99</v>
  </rv>
  <rv s="0">
    <v>https://www.bing.com/financeapi/forcetrigger?t=ahidf2&amp;q=XNSE%3aIOC&amp;form=skydnc</v>
    <v>Learn more on Bing</v>
  </rv>
  <rv s="1">
    <v>0</v>
    <v>INDIAN OIL CORPORATION LIMITED (XNSE:IOC)</v>
    <v>2</v>
    <v>3</v>
    <v>Finance</v>
    <v>4</v>
    <v>en-US</v>
    <v>ahidf2</v>
    <v>268435456</v>
    <v>1</v>
    <v>9</v>
    <v>Powered by Refinitiv</v>
    <v>174.5</v>
    <v>110.72</v>
    <v>1.3532999999999999</v>
    <v>-1.39</v>
    <v>-8.3499999999999998E-3</v>
    <v>INR</v>
    <v>Indian Oil Corporation Limited is an India-based oil company. The Company's segments include Petroleum Products, Petrochemicals, Gas, and Other Business Activities. Its Other Business Activities segment includes oil and gas exploration activities, explosives and cryogenic business, and wind mill and solar power generation. Its business interests span the entire hydrocarbon value-chain, ranging from refining (downstream), pipeline transportation and marketing to exploration and production of petrochemicals, natural gas and alternative energy. Its downstream business includes city gas distribution (CGD), natural gas supply to bulk consumers, and distribution and marketing of LPG and Industrial Fuels. Its green energy portfolio focuses on CBG and sustainable aviation fuel (SAF). It owns and operates approximately 10 refineries across India. Its subsidiaries include Chennai Petroleum Corporation Limited, IndianOil (Mauritius) Limited, IOC Sweden AB, and IndOil Global B.V., among others.</v>
    <v>29941</v>
    <v>National Stock Exchange of India</v>
    <v>XNSE</v>
    <v>XNSE</v>
    <v>3079/3, Sadiq Nagar, J B Tito Marg, NEW DELHI, DELHI, 110049 IN</v>
    <v>168.2</v>
    <v>Oil &amp; Gas</v>
    <v>Stock</v>
    <v>46023.330682870372</v>
    <v>101</v>
    <v>164.92</v>
    <v>2281569000000</v>
    <v>INDIAN OIL CORPORATION LIMITED</v>
    <v>INDIAN OIL CORPORATION LIMITED</v>
    <v>167</v>
    <v>9.1468000000000007</v>
    <v>166.46</v>
    <v>165.07</v>
    <v>14121240000</v>
    <v>IOC</v>
    <v>INDIAN OIL CORPORATION LIMITED (XNSE:IOC)</v>
    <v>7106915</v>
    <v>11809850</v>
    <v>1959</v>
  </rv>
  <rv s="2">
    <v>102</v>
  </rv>
  <rv s="0">
    <v>https://www.bing.com/financeapi/forcetrigger?t=ahisfr&amp;q=XNSE%3aLUPIN&amp;form=skydnc</v>
    <v>Learn more on Bing</v>
  </rv>
  <rv s="1">
    <v>0</v>
    <v>LUPIN LIMITED (XNSE:LUPIN)</v>
    <v>2</v>
    <v>3</v>
    <v>Finance</v>
    <v>4</v>
    <v>en-US</v>
    <v>ahisfr</v>
    <v>268435456</v>
    <v>1</v>
    <v>9</v>
    <v>Powered by Refinitiv</v>
    <v>2402.9</v>
    <v>1795.2</v>
    <v>0.69030000000000002</v>
    <v>-8.6999999999999993</v>
    <v>-4.1240000000000001E-3</v>
    <v>INR</v>
    <v>Lupin Limited is a global pharmaceutical company, with products distributed in over 100 markets. It specializes in pharmaceutical products, including branded and generic formulations, complex generics, biotechnology products, and active pharmaceutical ingredients. It operates in India and the United States across multiple therapy areas, including respiratory, cardiovascular, anti-diabetic, anti-infective, gastrointestinal, central nervous system, and women’s health. It has a presence in the Cardiovascular, Diabetology, Asthma, Pediatrics, Central Nervous System, Gastro-Intestinal, Anti-Infectives and Nonsteroidal Anti-Inflammatory Drug therapy segments and operates in the Anti-TB and Cephalosporins segments. Its generic formulations include Filgrastim, Peg filgrastim, Etanercept and Albuterol. Its diabetes brands include Gibtulio, Ajaduo, Gibtulio Met, ONDERO and ONDERO MET. Its other brands include AntaGolin, RyChol and others. Its Huminsulin range of products includes Insulin Human.</v>
    <v>19979</v>
    <v>National Stock Exchange of India</v>
    <v>XNSE</v>
    <v>XNSE</v>
    <v>3rd Floor, Kalpataru Inspire,, Off. Western Expressway Highway,, Santacruz (East),, MUMBAI, MAHARASHTRA, 400055 IN</v>
    <v>2114</v>
    <v>Pharmaceuticals</v>
    <v>Stock</v>
    <v>46023.330682870372</v>
    <v>104</v>
    <v>2082</v>
    <v>950324300000</v>
    <v>LUPIN LIMITED</v>
    <v>LUPIN LIMITED</v>
    <v>2114</v>
    <v>22.174800000000001</v>
    <v>2109.5</v>
    <v>2100.8000000000002</v>
    <v>456798800</v>
    <v>LUPIN</v>
    <v>LUPIN LIMITED (XNSE:LUPIN)</v>
    <v>302951</v>
    <v>699860</v>
    <v>1983</v>
  </rv>
  <rv s="2">
    <v>105</v>
  </rv>
  <rv s="0">
    <v>https://www.bing.com/financeapi/forcetrigger?t=ahk3nm&amp;q=XNSE%3aSRF&amp;form=skydnc</v>
    <v>Learn more on Bing</v>
  </rv>
  <rv s="1">
    <v>0</v>
    <v>SRF LIMITED (XNSE:SRF)</v>
    <v>2</v>
    <v>3</v>
    <v>Finance</v>
    <v>4</v>
    <v>en-US</v>
    <v>ahk3nm</v>
    <v>268435456</v>
    <v>1</v>
    <v>9</v>
    <v>Powered by Refinitiv</v>
    <v>3325</v>
    <v>2196.85</v>
    <v>0.87839999999999996</v>
    <v>-12.1</v>
    <v>-3.9350000000000001E-3</v>
    <v>INR</v>
    <v>SRF Limited is a chemical-based multi-business company engaged in the manufacturing of industrial and specialty intermediates. Its segments include Technical Textiles Business (TTB), Chemicals Business (CB), Performance Films and Foil Business (PFB) and Others. The TTB segment's business includes nylon tire cord fabric, belting fabric, polyester tire cord fabric and industrial yarns and its research and development. The CB segment's business includes refrigerant gases, industrial chemicals, specialty chemicals, fluorochemicals and allied products and its research and development. The PFB segment's business includes polyester films and polypropylene films. The others segment includes coated fabric, laminated fabric and other ancillary activities. The Company has eleven manufacturing plants in India and one each in Thailand, South Africa and Hungary. The Company exports to over 90 countries. It serves various industries, such as automotive, pharmaceuticals, manufacturing and chemicals.</v>
    <v>8425</v>
    <v>National Stock Exchange of India</v>
    <v>XNSE</v>
    <v>XNSE</v>
    <v>Block-C, Sector - 45, GURGAON, HARYANA, 122003 IN</v>
    <v>3077.9</v>
    <v>Chemicals</v>
    <v>Stock</v>
    <v>46023.330729166664</v>
    <v>107</v>
    <v>3050.3</v>
    <v>900627600000</v>
    <v>SRF LIMITED</v>
    <v>SRF LIMITED</v>
    <v>3077.9</v>
    <v>56.122300000000003</v>
    <v>3075</v>
    <v>3062.9</v>
    <v>296424800</v>
    <v>SRF</v>
    <v>SRF LIMITED (XNSE:SRF)</v>
    <v>44850</v>
    <v>538130</v>
    <v>1970</v>
  </rv>
  <rv s="2">
    <v>108</v>
  </rv>
  <rv s="0">
    <v>https://www.bing.com/financeapi/forcetrigger?t=ahkjtc&amp;q=XNSE%3aVEDL&amp;form=skydnc</v>
    <v>Learn more on Bing</v>
  </rv>
  <rv s="1">
    <v>0</v>
    <v>Vedanta Limited (XNSE:VEDL)</v>
    <v>2</v>
    <v>3</v>
    <v>Finance</v>
    <v>4</v>
    <v>en-US</v>
    <v>ahkjtc</v>
    <v>268435456</v>
    <v>1</v>
    <v>9</v>
    <v>Powered by Refinitiv</v>
    <v>616</v>
    <v>363</v>
    <v>1.1160000000000001</v>
    <v>-4.45</v>
    <v>-7.3629999999999998E-3</v>
    <v>INR</v>
    <v>Vedanta Limited is an India-based company, which specializes in critical minerals, energy transition metals, power, and technology, with operations spanning India, South Africa, Namibia, Liberia, United Arab Emirates, Saudi Arabia, Korea, Taiwan and Japan. Its segments include Zinc, Lead and Silver - India; Zinc - International; Oil &amp; Gas; Aluminium; Copper; Iron Ore; Power and Others. Zinc, Lead and Silver - India segment consists of mining of ore, manufacturing of zinc and lead ingots and silver, both from own mining and purchased concentrate. Zinc - International segment consists of exploration, mining, treatment and production of zinc, lead, copper and associated mineral concentrates for sale. Oil &amp; Gas segment consists of exploration, development and production of oil and gas. Aluminium segment consists of mining of bauxite and manufacturing of alumina and various aluminum products. Iron ore segment consists of mining of ore and manufacturing of pig iron and metallurgical coke.</v>
    <v>8354</v>
    <v>National Stock Exchange of India</v>
    <v>XNSE</v>
    <v>XNSE</v>
    <v>1st Floor, C wing, Unit 103, Corporate Avenue Atul Projects, Chakala, Andheri (East), MUMBAI, MAHARASHTRA, 400093 IN</v>
    <v>606.9</v>
    <v>Metals &amp; Mining</v>
    <v>Stock</v>
    <v>46023.330706018518</v>
    <v>110</v>
    <v>597.70000000000005</v>
    <v>2364961000000</v>
    <v>Vedanta Limited</v>
    <v>Vedanta Limited</v>
    <v>603</v>
    <v>20.384599999999999</v>
    <v>604.4</v>
    <v>599.95000000000005</v>
    <v>3905475000</v>
    <v>VEDL</v>
    <v>Vedanta Limited (XNSE:VEDL)</v>
    <v>2620972</v>
    <v>18746480</v>
    <v>1965</v>
  </rv>
  <rv s="2">
    <v>111</v>
  </rv>
</rvData>
</file>

<file path=xl/richData/rdrichvaluestructure.xml><?xml version="1.0" encoding="utf-8"?>
<rvStructures xmlns="http://schemas.microsoft.com/office/spreadsheetml/2017/richdata" count="7">
  <s t="_hyperlink">
    <k n="Address" t="s"/>
    <k n="Text" t="s"/>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rvStructures>
</file>

<file path=xl/richData/rdsupportingpropertybag.xml><?xml version="1.0" encoding="utf-8"?>
<supportingPropertyBags xmlns="http://schemas.microsoft.com/office/spreadsheetml/2017/richdata2">
  <spbArrays count="3">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v t="s">%OutdatedReason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v t="s">%OutdatedReason</v>
    </a>
  </spbArrays>
  <spbData count="12">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0</v>
      <v>0</v>
    </spb>
    <spb s="6">
      <v>6</v>
      <v>1</v>
      <v>1</v>
      <v>1</v>
      <v>1</v>
    </spb>
    <spb s="7">
      <v>1</v>
      <v>2</v>
      <v>2</v>
      <v>1</v>
      <v>3</v>
      <v>1</v>
      <v>10</v>
      <v>1</v>
      <v>1</v>
      <v>4</v>
      <v>4</v>
      <v>5</v>
      <v>6</v>
      <v>1</v>
      <v>1</v>
      <v>1</v>
      <v>4</v>
      <v>7</v>
      <v>8</v>
      <v>9</v>
      <v>4</v>
    </spb>
    <spb s="8">
      <v>Powered by Refinitiv</v>
    </spb>
    <spb s="0">
      <v>2</v>
      <v>Name</v>
      <v>LearnMoreOnLink</v>
    </spb>
    <spb s="9">
      <v>1</v>
      <v>2</v>
      <v>2</v>
      <v>1</v>
      <v>3</v>
      <v>1</v>
      <v>1</v>
      <v>1</v>
      <v>4</v>
      <v>4</v>
      <v>5</v>
      <v>6</v>
      <v>1</v>
      <v>1</v>
      <v>1</v>
      <v>4</v>
      <v>7</v>
      <v>9</v>
      <v>4</v>
    </spb>
  </spbData>
</supportingPropertyBags>
</file>

<file path=xl/richData/rdsupportingpropertybagstructure.xml><?xml version="1.0" encoding="utf-8"?>
<spbStructures xmlns="http://schemas.microsoft.com/office/spreadsheetml/2017/richdata2" count="1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_-[$¤-ks-Deva] * #,##0.00_-;-[$¤-ks-Deva] * #,##0.00_-;_-[$¤-ks-Deva] * "-"??_-;_-@_-</rpv>
    </rSty>
    <rSty dxfid="5">
      <rpv i="0">#,##0.00</rpv>
    </rSty>
    <rSty>
      <rpv i="1">1</rpv>
    </rSty>
    <rSty dxfid="4">
      <rpv i="0">#,##0</rpv>
    </rSty>
    <rSty dxfid="3"/>
    <rSty dxfid="1">
      <rpv i="0">_-[$¤-ks-Deva] * #,##0_-;-[$¤-ks-Deva] * #,##0_-;_-[$¤-ks-Deva] * "-"_-;_-@_-</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4"/>
  <sheetViews>
    <sheetView tabSelected="1" workbookViewId="0">
      <selection activeCell="I26" sqref="I26"/>
    </sheetView>
  </sheetViews>
  <sheetFormatPr baseColWidth="10" defaultColWidth="8.83203125" defaultRowHeight="15" x14ac:dyDescent="0.2"/>
  <cols>
    <col min="1" max="1" width="45.1640625" customWidth="1"/>
    <col min="2" max="2" width="17.83203125" customWidth="1"/>
    <col min="18" max="18" width="9.33203125" customWidth="1"/>
    <col min="19" max="19" width="20.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3" x14ac:dyDescent="0.2">
      <c r="A2" t="s">
        <v>19</v>
      </c>
      <c r="B2" s="2">
        <v>46017</v>
      </c>
      <c r="C2">
        <v>402.15</v>
      </c>
      <c r="D2">
        <v>400.45</v>
      </c>
      <c r="E2">
        <v>-0.42</v>
      </c>
      <c r="F2">
        <v>64.34</v>
      </c>
      <c r="G2">
        <v>1.86</v>
      </c>
      <c r="H2">
        <v>383.04</v>
      </c>
      <c r="I2">
        <v>4.99</v>
      </c>
      <c r="J2">
        <v>1.74</v>
      </c>
      <c r="K2">
        <v>0.54</v>
      </c>
      <c r="L2" t="s">
        <v>20</v>
      </c>
      <c r="M2">
        <v>396.12</v>
      </c>
      <c r="N2">
        <v>406.17</v>
      </c>
      <c r="O2">
        <v>371.55</v>
      </c>
      <c r="P2">
        <v>422.26</v>
      </c>
      <c r="Q2">
        <v>442.36</v>
      </c>
      <c r="R2">
        <v>80</v>
      </c>
      <c r="S2" t="s">
        <v>21</v>
      </c>
      <c r="U2" t="str">
        <f>A2</f>
        <v>COALINDIA</v>
      </c>
      <c r="V2">
        <f>P2-C2</f>
        <v>20.110000000000014</v>
      </c>
      <c r="W2" s="5">
        <f>V2/C2</f>
        <v>5.0006216585851089E-2</v>
      </c>
    </row>
    <row r="3" spans="1:23" x14ac:dyDescent="0.2">
      <c r="A3" t="s">
        <v>22</v>
      </c>
      <c r="B3" s="2">
        <v>46017</v>
      </c>
      <c r="C3">
        <v>1698</v>
      </c>
      <c r="D3">
        <v>1694</v>
      </c>
      <c r="E3">
        <v>-0.24</v>
      </c>
      <c r="F3">
        <v>57.04</v>
      </c>
      <c r="G3">
        <v>0.68</v>
      </c>
      <c r="H3">
        <v>1705.67</v>
      </c>
      <c r="I3">
        <v>-0.45</v>
      </c>
      <c r="J3">
        <v>2.37</v>
      </c>
      <c r="K3">
        <v>0.25</v>
      </c>
      <c r="L3" t="s">
        <v>20</v>
      </c>
      <c r="M3">
        <v>1688.61</v>
      </c>
      <c r="N3">
        <v>1714.98</v>
      </c>
      <c r="O3">
        <v>1630.08</v>
      </c>
      <c r="P3">
        <v>1782.9</v>
      </c>
      <c r="Q3">
        <v>1867.8</v>
      </c>
      <c r="R3">
        <v>78</v>
      </c>
      <c r="S3" t="s">
        <v>21</v>
      </c>
      <c r="U3" t="str">
        <f t="shared" ref="U3:U21" si="0">A3</f>
        <v>CHOLAFIN</v>
      </c>
      <c r="V3">
        <f t="shared" ref="V3:V21" si="1">P3-C3</f>
        <v>84.900000000000091</v>
      </c>
      <c r="W3" s="5">
        <f t="shared" ref="W3:W21" si="2">V3/C3</f>
        <v>5.0000000000000051E-2</v>
      </c>
    </row>
    <row r="4" spans="1:23" x14ac:dyDescent="0.2">
      <c r="A4" t="s">
        <v>23</v>
      </c>
      <c r="B4" s="2">
        <v>46017</v>
      </c>
      <c r="C4">
        <v>3992</v>
      </c>
      <c r="D4">
        <v>3999.2</v>
      </c>
      <c r="E4">
        <v>0.18</v>
      </c>
      <c r="F4">
        <v>66.2</v>
      </c>
      <c r="G4">
        <v>25.94</v>
      </c>
      <c r="H4">
        <v>3848.76</v>
      </c>
      <c r="I4">
        <v>3.72</v>
      </c>
      <c r="J4">
        <v>0.59</v>
      </c>
      <c r="K4">
        <v>1.1599999999999999</v>
      </c>
      <c r="L4" t="s">
        <v>20</v>
      </c>
      <c r="M4">
        <v>3932.12</v>
      </c>
      <c r="N4">
        <v>4031.92</v>
      </c>
      <c r="O4">
        <v>3733.3</v>
      </c>
      <c r="P4">
        <v>4191.6000000000004</v>
      </c>
      <c r="Q4">
        <v>4391.2</v>
      </c>
      <c r="R4">
        <v>75</v>
      </c>
      <c r="S4" t="s">
        <v>21</v>
      </c>
      <c r="U4" t="str">
        <f t="shared" si="0"/>
        <v>TITAN</v>
      </c>
      <c r="V4">
        <f t="shared" si="1"/>
        <v>199.60000000000036</v>
      </c>
      <c r="W4" s="5">
        <f t="shared" si="2"/>
        <v>5.0000000000000093E-2</v>
      </c>
    </row>
    <row r="5" spans="1:23" x14ac:dyDescent="0.2">
      <c r="A5" t="s">
        <v>24</v>
      </c>
      <c r="B5" s="2">
        <v>46017</v>
      </c>
      <c r="C5">
        <v>1660.9</v>
      </c>
      <c r="D5">
        <v>1644.9</v>
      </c>
      <c r="E5">
        <v>-0.96</v>
      </c>
      <c r="F5">
        <v>60.69</v>
      </c>
      <c r="G5">
        <v>23.94</v>
      </c>
      <c r="H5">
        <v>1606.4</v>
      </c>
      <c r="I5">
        <v>3.39</v>
      </c>
      <c r="J5">
        <v>0.4</v>
      </c>
      <c r="K5">
        <v>0.52</v>
      </c>
      <c r="L5" t="s">
        <v>20</v>
      </c>
      <c r="M5">
        <v>1635.99</v>
      </c>
      <c r="N5">
        <v>1677.51</v>
      </c>
      <c r="O5">
        <v>1558.21</v>
      </c>
      <c r="P5">
        <v>1743.95</v>
      </c>
      <c r="Q5">
        <v>1826.99</v>
      </c>
      <c r="R5">
        <v>75</v>
      </c>
      <c r="S5" t="s">
        <v>21</v>
      </c>
      <c r="U5" t="str">
        <f t="shared" si="0"/>
        <v>HCLTECH</v>
      </c>
      <c r="V5">
        <f t="shared" si="1"/>
        <v>83.049999999999955</v>
      </c>
      <c r="W5" s="5">
        <f t="shared" si="2"/>
        <v>5.0003010416039467E-2</v>
      </c>
    </row>
    <row r="6" spans="1:23" x14ac:dyDescent="0.2">
      <c r="A6" t="s">
        <v>25</v>
      </c>
      <c r="B6" s="2">
        <v>46017</v>
      </c>
      <c r="C6">
        <v>2746.5</v>
      </c>
      <c r="D6">
        <v>2756.4</v>
      </c>
      <c r="E6">
        <v>0.36</v>
      </c>
      <c r="F6">
        <v>57.69</v>
      </c>
      <c r="G6">
        <v>21.3</v>
      </c>
      <c r="H6">
        <v>2754.69</v>
      </c>
      <c r="I6">
        <v>-0.3</v>
      </c>
      <c r="J6">
        <v>0.35</v>
      </c>
      <c r="K6">
        <v>0.42</v>
      </c>
      <c r="L6" t="s">
        <v>20</v>
      </c>
      <c r="M6">
        <v>2727.14</v>
      </c>
      <c r="N6">
        <v>2773.96</v>
      </c>
      <c r="O6">
        <v>2636.64</v>
      </c>
      <c r="P6">
        <v>2883.82</v>
      </c>
      <c r="Q6">
        <v>3021.15</v>
      </c>
      <c r="R6">
        <v>73</v>
      </c>
      <c r="S6" t="s">
        <v>21</v>
      </c>
      <c r="U6" t="str">
        <f t="shared" si="0"/>
        <v>ASIANPAINT</v>
      </c>
      <c r="V6">
        <f t="shared" si="1"/>
        <v>137.32000000000016</v>
      </c>
      <c r="W6" s="5">
        <f t="shared" si="2"/>
        <v>4.9998179501183383E-2</v>
      </c>
    </row>
    <row r="7" spans="1:23" x14ac:dyDescent="0.2">
      <c r="A7" t="s">
        <v>26</v>
      </c>
      <c r="B7" s="2">
        <v>46017</v>
      </c>
      <c r="C7">
        <v>2019.1</v>
      </c>
      <c r="D7">
        <v>2016.9</v>
      </c>
      <c r="E7">
        <v>-0.11</v>
      </c>
      <c r="F7">
        <v>66.42</v>
      </c>
      <c r="G7">
        <v>6.76</v>
      </c>
      <c r="H7">
        <v>1988.09</v>
      </c>
      <c r="I7">
        <v>1.56</v>
      </c>
      <c r="J7">
        <v>0.33</v>
      </c>
      <c r="K7">
        <v>0.28000000000000003</v>
      </c>
      <c r="L7" t="s">
        <v>20</v>
      </c>
      <c r="M7">
        <v>1988.81</v>
      </c>
      <c r="N7">
        <v>2039.29</v>
      </c>
      <c r="O7">
        <v>1928.45</v>
      </c>
      <c r="P7">
        <v>2120.0500000000002</v>
      </c>
      <c r="Q7">
        <v>2221.0100000000002</v>
      </c>
      <c r="R7">
        <v>73</v>
      </c>
      <c r="S7" t="s">
        <v>21</v>
      </c>
      <c r="U7" t="str">
        <f t="shared" si="0"/>
        <v>SBILIFE</v>
      </c>
      <c r="V7">
        <f t="shared" si="1"/>
        <v>100.95000000000027</v>
      </c>
      <c r="W7" s="5">
        <f t="shared" si="2"/>
        <v>4.9997523649150749E-2</v>
      </c>
    </row>
    <row r="8" spans="1:23" x14ac:dyDescent="0.2">
      <c r="A8" t="s">
        <v>27</v>
      </c>
      <c r="B8" s="2">
        <v>46017</v>
      </c>
      <c r="C8">
        <v>4047.3</v>
      </c>
      <c r="D8">
        <v>4047.7</v>
      </c>
      <c r="E8">
        <v>0.01</v>
      </c>
      <c r="F8">
        <v>64.680000000000007</v>
      </c>
      <c r="G8">
        <v>14.05</v>
      </c>
      <c r="H8">
        <v>4015.03</v>
      </c>
      <c r="I8">
        <v>0.8</v>
      </c>
      <c r="J8">
        <v>0.56000000000000005</v>
      </c>
      <c r="K8">
        <v>0.31</v>
      </c>
      <c r="L8" t="s">
        <v>20</v>
      </c>
      <c r="M8">
        <v>3986.59</v>
      </c>
      <c r="N8">
        <v>4087.77</v>
      </c>
      <c r="O8">
        <v>3885.41</v>
      </c>
      <c r="P8">
        <v>4249.67</v>
      </c>
      <c r="Q8">
        <v>4452.03</v>
      </c>
      <c r="R8">
        <v>73</v>
      </c>
      <c r="S8" t="s">
        <v>21</v>
      </c>
      <c r="U8" t="str">
        <f t="shared" si="0"/>
        <v>LT</v>
      </c>
      <c r="V8">
        <f t="shared" si="1"/>
        <v>202.36999999999989</v>
      </c>
      <c r="W8" s="5">
        <f t="shared" si="2"/>
        <v>5.0001235391495535E-2</v>
      </c>
    </row>
    <row r="9" spans="1:23" x14ac:dyDescent="0.2">
      <c r="A9" t="s">
        <v>28</v>
      </c>
      <c r="B9" s="2">
        <v>46017</v>
      </c>
      <c r="C9">
        <v>774.05</v>
      </c>
      <c r="D9">
        <v>770.6</v>
      </c>
      <c r="E9">
        <v>-0.45</v>
      </c>
      <c r="F9">
        <v>66.099999999999994</v>
      </c>
      <c r="G9">
        <v>3.7</v>
      </c>
      <c r="H9">
        <v>744.12</v>
      </c>
      <c r="I9">
        <v>4.0199999999999996</v>
      </c>
      <c r="J9">
        <v>1.05</v>
      </c>
      <c r="K9">
        <v>0.28000000000000003</v>
      </c>
      <c r="L9" t="s">
        <v>20</v>
      </c>
      <c r="M9">
        <v>762.44</v>
      </c>
      <c r="N9">
        <v>781.79</v>
      </c>
      <c r="O9">
        <v>721.8</v>
      </c>
      <c r="P9">
        <v>812.75</v>
      </c>
      <c r="Q9">
        <v>851.45</v>
      </c>
      <c r="R9">
        <v>70</v>
      </c>
      <c r="S9" t="s">
        <v>21</v>
      </c>
      <c r="U9" t="str">
        <f t="shared" si="0"/>
        <v>UPL</v>
      </c>
      <c r="V9">
        <f t="shared" si="1"/>
        <v>38.700000000000045</v>
      </c>
      <c r="W9" s="5">
        <f t="shared" si="2"/>
        <v>4.9996770234481042E-2</v>
      </c>
    </row>
    <row r="10" spans="1:23" x14ac:dyDescent="0.2">
      <c r="A10" t="s">
        <v>29</v>
      </c>
      <c r="B10" s="2">
        <v>46017</v>
      </c>
      <c r="C10">
        <v>82.61</v>
      </c>
      <c r="D10">
        <v>81.58</v>
      </c>
      <c r="E10">
        <v>-1.25</v>
      </c>
      <c r="F10">
        <v>65.790000000000006</v>
      </c>
      <c r="G10">
        <v>0.32</v>
      </c>
      <c r="H10">
        <v>76.150000000000006</v>
      </c>
      <c r="I10">
        <v>8.48</v>
      </c>
      <c r="J10">
        <v>1.62</v>
      </c>
      <c r="K10">
        <v>1.27</v>
      </c>
      <c r="L10" t="s">
        <v>30</v>
      </c>
      <c r="M10">
        <v>81.37</v>
      </c>
      <c r="N10">
        <v>83.44</v>
      </c>
      <c r="O10">
        <v>73.87</v>
      </c>
      <c r="P10">
        <v>86.74</v>
      </c>
      <c r="Q10">
        <v>90.87</v>
      </c>
      <c r="R10">
        <v>70</v>
      </c>
      <c r="S10" t="s">
        <v>21</v>
      </c>
      <c r="U10" t="str">
        <f t="shared" si="0"/>
        <v>NMDC</v>
      </c>
      <c r="V10">
        <f t="shared" si="1"/>
        <v>4.1299999999999955</v>
      </c>
      <c r="W10" s="5">
        <f t="shared" si="2"/>
        <v>4.9993947463987359E-2</v>
      </c>
    </row>
    <row r="11" spans="1:23" x14ac:dyDescent="0.2">
      <c r="A11" t="s">
        <v>31</v>
      </c>
      <c r="B11" s="2">
        <v>46017</v>
      </c>
      <c r="C11">
        <v>649.95000000000005</v>
      </c>
      <c r="D11">
        <v>651.45000000000005</v>
      </c>
      <c r="E11">
        <v>0.23</v>
      </c>
      <c r="F11">
        <v>60.02</v>
      </c>
      <c r="G11">
        <v>5.94</v>
      </c>
      <c r="H11">
        <v>624.25</v>
      </c>
      <c r="I11">
        <v>4.12</v>
      </c>
      <c r="J11">
        <v>0.41</v>
      </c>
      <c r="K11">
        <v>0.25</v>
      </c>
      <c r="L11" t="s">
        <v>20</v>
      </c>
      <c r="M11">
        <v>640.20000000000005</v>
      </c>
      <c r="N11">
        <v>656.45</v>
      </c>
      <c r="O11">
        <v>605.52</v>
      </c>
      <c r="P11">
        <v>682.45</v>
      </c>
      <c r="Q11">
        <v>714.95</v>
      </c>
      <c r="R11">
        <v>68</v>
      </c>
      <c r="S11" t="s">
        <v>21</v>
      </c>
      <c r="U11" t="str">
        <f t="shared" si="0"/>
        <v>ICICIPRULI</v>
      </c>
      <c r="V11">
        <f t="shared" si="1"/>
        <v>32.5</v>
      </c>
      <c r="W11" s="5">
        <f t="shared" si="2"/>
        <v>5.0003846449726899E-2</v>
      </c>
    </row>
    <row r="12" spans="1:23" x14ac:dyDescent="0.2">
      <c r="A12" t="s">
        <v>32</v>
      </c>
      <c r="B12" s="2">
        <v>46017</v>
      </c>
      <c r="C12">
        <v>1015.3</v>
      </c>
      <c r="D12">
        <v>1003.05</v>
      </c>
      <c r="E12">
        <v>-1.21</v>
      </c>
      <c r="F12">
        <v>61.81</v>
      </c>
      <c r="G12">
        <v>7.91</v>
      </c>
      <c r="H12">
        <v>987.79</v>
      </c>
      <c r="I12">
        <v>2.78</v>
      </c>
      <c r="J12">
        <v>0.31</v>
      </c>
      <c r="K12">
        <v>0.36</v>
      </c>
      <c r="L12" t="s">
        <v>20</v>
      </c>
      <c r="M12">
        <v>1000.07</v>
      </c>
      <c r="N12">
        <v>1025.45</v>
      </c>
      <c r="O12">
        <v>958.16</v>
      </c>
      <c r="P12">
        <v>1066.06</v>
      </c>
      <c r="Q12">
        <v>1116.83</v>
      </c>
      <c r="R12">
        <v>68</v>
      </c>
      <c r="S12" t="s">
        <v>21</v>
      </c>
      <c r="U12" t="str">
        <f t="shared" si="0"/>
        <v>ADANIENSOL</v>
      </c>
      <c r="V12">
        <f t="shared" si="1"/>
        <v>50.759999999999991</v>
      </c>
      <c r="W12" s="5">
        <f t="shared" si="2"/>
        <v>4.9995075347188014E-2</v>
      </c>
    </row>
    <row r="13" spans="1:23" x14ac:dyDescent="0.2">
      <c r="A13" t="s">
        <v>33</v>
      </c>
      <c r="B13" s="2">
        <v>46017</v>
      </c>
      <c r="C13">
        <v>4518.3</v>
      </c>
      <c r="D13">
        <v>4487.8</v>
      </c>
      <c r="E13">
        <v>-0.68</v>
      </c>
      <c r="F13">
        <v>56.14</v>
      </c>
      <c r="G13">
        <v>60.42</v>
      </c>
      <c r="H13">
        <v>4341.09</v>
      </c>
      <c r="I13">
        <v>4.08</v>
      </c>
      <c r="J13">
        <v>0.64</v>
      </c>
      <c r="K13">
        <v>0.38</v>
      </c>
      <c r="L13" t="s">
        <v>20</v>
      </c>
      <c r="M13">
        <v>4450.53</v>
      </c>
      <c r="N13">
        <v>4563.4799999999996</v>
      </c>
      <c r="O13">
        <v>4210.8599999999997</v>
      </c>
      <c r="P13">
        <v>4744.21</v>
      </c>
      <c r="Q13">
        <v>4970.13</v>
      </c>
      <c r="R13">
        <v>68</v>
      </c>
      <c r="S13" t="s">
        <v>21</v>
      </c>
      <c r="U13" t="str">
        <f t="shared" si="0"/>
        <v>LTTS</v>
      </c>
      <c r="V13">
        <f t="shared" si="1"/>
        <v>225.90999999999985</v>
      </c>
      <c r="W13" s="5">
        <f t="shared" si="2"/>
        <v>4.9998893389106486E-2</v>
      </c>
    </row>
    <row r="14" spans="1:23" x14ac:dyDescent="0.2">
      <c r="A14" t="s">
        <v>34</v>
      </c>
      <c r="B14" s="2">
        <v>46017</v>
      </c>
      <c r="C14">
        <v>1559.2</v>
      </c>
      <c r="D14">
        <v>1547.5</v>
      </c>
      <c r="E14">
        <v>-0.75</v>
      </c>
      <c r="F14">
        <v>65.11</v>
      </c>
      <c r="G14">
        <v>10.76</v>
      </c>
      <c r="H14">
        <v>1527.04</v>
      </c>
      <c r="I14">
        <v>2.11</v>
      </c>
      <c r="J14">
        <v>0.6</v>
      </c>
      <c r="K14">
        <v>0.28000000000000003</v>
      </c>
      <c r="L14" t="s">
        <v>20</v>
      </c>
      <c r="M14">
        <v>1535.81</v>
      </c>
      <c r="N14">
        <v>1574.79</v>
      </c>
      <c r="O14">
        <v>1481.23</v>
      </c>
      <c r="P14">
        <v>1637.16</v>
      </c>
      <c r="Q14">
        <v>1715.12</v>
      </c>
      <c r="R14">
        <v>68</v>
      </c>
      <c r="S14" t="s">
        <v>21</v>
      </c>
      <c r="U14" t="str">
        <f t="shared" si="0"/>
        <v>RELIANCE</v>
      </c>
      <c r="V14">
        <f t="shared" si="1"/>
        <v>77.960000000000036</v>
      </c>
      <c r="W14" s="5">
        <f t="shared" si="2"/>
        <v>5.0000000000000024E-2</v>
      </c>
    </row>
    <row r="15" spans="1:23" x14ac:dyDescent="0.2">
      <c r="A15" t="s">
        <v>35</v>
      </c>
      <c r="B15" s="2">
        <v>46017</v>
      </c>
      <c r="C15">
        <v>3797</v>
      </c>
      <c r="D15">
        <v>3753.6</v>
      </c>
      <c r="E15">
        <v>-1.1399999999999999</v>
      </c>
      <c r="F15">
        <v>75.63</v>
      </c>
      <c r="G15">
        <v>36.369999999999997</v>
      </c>
      <c r="H15">
        <v>3589.35</v>
      </c>
      <c r="I15">
        <v>5.79</v>
      </c>
      <c r="J15">
        <v>0.49</v>
      </c>
      <c r="K15">
        <v>0.35</v>
      </c>
      <c r="L15" t="s">
        <v>20</v>
      </c>
      <c r="M15">
        <v>3740.04</v>
      </c>
      <c r="N15">
        <v>3834.97</v>
      </c>
      <c r="O15">
        <v>3481.67</v>
      </c>
      <c r="P15">
        <v>3986.85</v>
      </c>
      <c r="Q15">
        <v>4176.7</v>
      </c>
      <c r="R15">
        <v>68</v>
      </c>
      <c r="S15" t="s">
        <v>21</v>
      </c>
      <c r="U15" t="str">
        <f t="shared" si="0"/>
        <v>MUTHOOTFIN</v>
      </c>
      <c r="V15">
        <f t="shared" si="1"/>
        <v>189.84999999999991</v>
      </c>
      <c r="W15" s="5">
        <f t="shared" si="2"/>
        <v>4.9999999999999975E-2</v>
      </c>
    </row>
    <row r="16" spans="1:23" x14ac:dyDescent="0.2">
      <c r="A16" t="s">
        <v>36</v>
      </c>
      <c r="B16" s="2">
        <v>46017</v>
      </c>
      <c r="C16">
        <v>872.9</v>
      </c>
      <c r="D16">
        <v>864.5</v>
      </c>
      <c r="E16">
        <v>-0.96</v>
      </c>
      <c r="F16">
        <v>69.69</v>
      </c>
      <c r="G16">
        <v>5.07</v>
      </c>
      <c r="H16">
        <v>825.27</v>
      </c>
      <c r="I16">
        <v>5.77</v>
      </c>
      <c r="J16">
        <v>0.66</v>
      </c>
      <c r="K16">
        <v>1.46</v>
      </c>
      <c r="L16" t="s">
        <v>30</v>
      </c>
      <c r="M16">
        <v>859.81</v>
      </c>
      <c r="N16">
        <v>881.63</v>
      </c>
      <c r="O16">
        <v>800.51</v>
      </c>
      <c r="P16">
        <v>916.55</v>
      </c>
      <c r="Q16">
        <v>960.19</v>
      </c>
      <c r="R16">
        <v>68</v>
      </c>
      <c r="S16" t="s">
        <v>21</v>
      </c>
      <c r="U16" t="str">
        <f t="shared" si="0"/>
        <v>HINDALCO</v>
      </c>
      <c r="V16">
        <f t="shared" si="1"/>
        <v>43.649999999999977</v>
      </c>
      <c r="W16" s="5">
        <f t="shared" si="2"/>
        <v>5.0005728032993448E-2</v>
      </c>
    </row>
    <row r="17" spans="1:23" x14ac:dyDescent="0.2">
      <c r="A17" t="s">
        <v>37</v>
      </c>
      <c r="B17" s="2">
        <v>46017</v>
      </c>
      <c r="C17">
        <v>3816.6</v>
      </c>
      <c r="D17">
        <v>3792.2</v>
      </c>
      <c r="E17">
        <v>-0.64</v>
      </c>
      <c r="F17">
        <v>64.09</v>
      </c>
      <c r="G17">
        <v>9.15</v>
      </c>
      <c r="H17">
        <v>3715.47</v>
      </c>
      <c r="I17">
        <v>2.72</v>
      </c>
      <c r="J17">
        <v>0.6</v>
      </c>
      <c r="K17">
        <v>0.13</v>
      </c>
      <c r="L17" t="s">
        <v>20</v>
      </c>
      <c r="M17">
        <v>3759.35</v>
      </c>
      <c r="N17">
        <v>3854.77</v>
      </c>
      <c r="O17">
        <v>3604.01</v>
      </c>
      <c r="P17">
        <v>4007.43</v>
      </c>
      <c r="Q17">
        <v>4198.26</v>
      </c>
      <c r="R17">
        <v>68</v>
      </c>
      <c r="S17" t="s">
        <v>21</v>
      </c>
      <c r="U17" t="str">
        <f t="shared" si="0"/>
        <v>TORNTPHARM</v>
      </c>
      <c r="V17">
        <f t="shared" si="1"/>
        <v>190.82999999999993</v>
      </c>
      <c r="W17" s="5">
        <f t="shared" si="2"/>
        <v>4.9999999999999982E-2</v>
      </c>
    </row>
    <row r="18" spans="1:23" x14ac:dyDescent="0.2">
      <c r="A18" t="s">
        <v>38</v>
      </c>
      <c r="B18" s="2">
        <v>46017</v>
      </c>
      <c r="C18">
        <v>2164.1999999999998</v>
      </c>
      <c r="D18">
        <v>2156.6</v>
      </c>
      <c r="E18">
        <v>-0.35</v>
      </c>
      <c r="F18">
        <v>57.61</v>
      </c>
      <c r="G18">
        <v>6.13</v>
      </c>
      <c r="H18">
        <v>2132.46</v>
      </c>
      <c r="I18">
        <v>1.49</v>
      </c>
      <c r="J18">
        <v>0.39</v>
      </c>
      <c r="K18">
        <v>0.33</v>
      </c>
      <c r="L18" t="s">
        <v>20</v>
      </c>
      <c r="M18">
        <v>2131.7399999999998</v>
      </c>
      <c r="N18">
        <v>2185.84</v>
      </c>
      <c r="O18">
        <v>2068.4899999999998</v>
      </c>
      <c r="P18">
        <v>2272.41</v>
      </c>
      <c r="Q18">
        <v>2380.62</v>
      </c>
      <c r="R18">
        <v>66</v>
      </c>
      <c r="S18" t="s">
        <v>21</v>
      </c>
      <c r="U18" t="str">
        <f t="shared" si="0"/>
        <v>KOTAKBANK</v>
      </c>
      <c r="V18">
        <f t="shared" si="1"/>
        <v>108.21000000000004</v>
      </c>
      <c r="W18" s="5">
        <f t="shared" si="2"/>
        <v>5.0000000000000024E-2</v>
      </c>
    </row>
    <row r="19" spans="1:23" x14ac:dyDescent="0.2">
      <c r="A19" t="s">
        <v>39</v>
      </c>
      <c r="B19" s="2">
        <v>46017</v>
      </c>
      <c r="C19">
        <v>1206.2</v>
      </c>
      <c r="D19">
        <v>1199.2</v>
      </c>
      <c r="E19">
        <v>-0.57999999999999996</v>
      </c>
      <c r="F19">
        <v>56.28</v>
      </c>
      <c r="G19">
        <v>13.34</v>
      </c>
      <c r="H19">
        <v>1184.68</v>
      </c>
      <c r="I19">
        <v>1.82</v>
      </c>
      <c r="J19">
        <v>0.3</v>
      </c>
      <c r="K19">
        <v>0.37</v>
      </c>
      <c r="L19" t="s">
        <v>20</v>
      </c>
      <c r="M19">
        <v>1188.1099999999999</v>
      </c>
      <c r="N19">
        <v>1218.26</v>
      </c>
      <c r="O19">
        <v>1149.1400000000001</v>
      </c>
      <c r="P19">
        <v>1266.51</v>
      </c>
      <c r="Q19">
        <v>1326.82</v>
      </c>
      <c r="R19">
        <v>66</v>
      </c>
      <c r="S19" t="s">
        <v>21</v>
      </c>
      <c r="U19" t="str">
        <f t="shared" si="0"/>
        <v>AUROPHARMA</v>
      </c>
      <c r="V19">
        <f t="shared" si="1"/>
        <v>60.309999999999945</v>
      </c>
      <c r="W19" s="5">
        <f t="shared" si="2"/>
        <v>4.9999999999999954E-2</v>
      </c>
    </row>
    <row r="20" spans="1:23" x14ac:dyDescent="0.2">
      <c r="A20" t="s">
        <v>40</v>
      </c>
      <c r="B20" s="2">
        <v>46017</v>
      </c>
      <c r="C20">
        <v>1656.1</v>
      </c>
      <c r="D20">
        <v>1642.9</v>
      </c>
      <c r="E20">
        <v>-0.8</v>
      </c>
      <c r="F20">
        <v>62.24</v>
      </c>
      <c r="G20">
        <v>25.34</v>
      </c>
      <c r="H20">
        <v>1557.86</v>
      </c>
      <c r="I20">
        <v>6.31</v>
      </c>
      <c r="J20">
        <v>0.92</v>
      </c>
      <c r="K20">
        <v>0.28999999999999998</v>
      </c>
      <c r="L20" t="s">
        <v>20</v>
      </c>
      <c r="M20">
        <v>1631.26</v>
      </c>
      <c r="N20">
        <v>1672.66</v>
      </c>
      <c r="O20">
        <v>1511.12</v>
      </c>
      <c r="P20">
        <v>1738.9</v>
      </c>
      <c r="Q20">
        <v>1821.71</v>
      </c>
      <c r="R20">
        <v>65</v>
      </c>
      <c r="S20" t="s">
        <v>21</v>
      </c>
      <c r="U20" t="str">
        <f t="shared" si="0"/>
        <v>INFY</v>
      </c>
      <c r="V20">
        <f t="shared" si="1"/>
        <v>82.800000000000182</v>
      </c>
      <c r="W20" s="5">
        <f t="shared" si="2"/>
        <v>4.9996980858643916E-2</v>
      </c>
    </row>
    <row r="21" spans="1:23" x14ac:dyDescent="0.2">
      <c r="A21" t="s">
        <v>41</v>
      </c>
      <c r="B21" s="2">
        <v>46017</v>
      </c>
      <c r="C21">
        <v>2105.4</v>
      </c>
      <c r="D21">
        <v>2094.1999999999998</v>
      </c>
      <c r="E21">
        <v>-0.53</v>
      </c>
      <c r="F21">
        <v>62.29</v>
      </c>
      <c r="G21">
        <v>2.4700000000000002</v>
      </c>
      <c r="H21">
        <v>2084.5300000000002</v>
      </c>
      <c r="I21">
        <v>1</v>
      </c>
      <c r="J21">
        <v>0.54</v>
      </c>
      <c r="K21">
        <v>0.14000000000000001</v>
      </c>
      <c r="L21" t="s">
        <v>20</v>
      </c>
      <c r="M21">
        <v>2073.8200000000002</v>
      </c>
      <c r="N21">
        <v>2126.4499999999998</v>
      </c>
      <c r="O21">
        <v>2021.18</v>
      </c>
      <c r="P21">
        <v>2210.67</v>
      </c>
      <c r="Q21">
        <v>2315.94</v>
      </c>
      <c r="R21">
        <v>65</v>
      </c>
      <c r="S21" t="s">
        <v>21</v>
      </c>
      <c r="U21" t="str">
        <f t="shared" si="0"/>
        <v>BHARTIARTL</v>
      </c>
      <c r="V21">
        <f t="shared" si="1"/>
        <v>105.26999999999998</v>
      </c>
      <c r="W21" s="5">
        <f t="shared" si="2"/>
        <v>4.9999999999999989E-2</v>
      </c>
    </row>
    <row r="24" spans="1:23" x14ac:dyDescent="0.2">
      <c r="B24" t="s">
        <v>105</v>
      </c>
    </row>
    <row r="25" spans="1:23" x14ac:dyDescent="0.2">
      <c r="A25" s="4" t="e" vm="1">
        <v>#VALUE!</v>
      </c>
      <c r="B25" cm="1">
        <f t="array" aca="1" ref="B25" ca="1">_FV(A25,"price")</f>
        <v>400.75</v>
      </c>
      <c r="C25">
        <f ca="1">B25-M2</f>
        <v>4.6299999999999955</v>
      </c>
      <c r="D25" s="5">
        <f ca="1">C25/B25</f>
        <v>1.1553337492202109E-2</v>
      </c>
    </row>
    <row r="26" spans="1:23" x14ac:dyDescent="0.2">
      <c r="A26" s="4" t="e" vm="2">
        <v>#VALUE!</v>
      </c>
      <c r="B26" cm="1">
        <f t="array" aca="1" ref="B26" ca="1">_FV(A26,"price")</f>
        <v>1713</v>
      </c>
      <c r="C26">
        <f t="shared" ref="C26:C44" ca="1" si="3">B26-M3</f>
        <v>24.3900000000001</v>
      </c>
      <c r="D26" s="5">
        <f t="shared" ref="D26:D44" ca="1" si="4">C26/B26</f>
        <v>1.4238178633975539E-2</v>
      </c>
    </row>
    <row r="27" spans="1:23" x14ac:dyDescent="0.2">
      <c r="A27" s="4" t="e" vm="3">
        <v>#VALUE!</v>
      </c>
      <c r="B27" cm="1">
        <f t="array" aca="1" ref="B27" ca="1">_FV(A27,"price")</f>
        <v>4060.4</v>
      </c>
      <c r="C27">
        <f t="shared" ca="1" si="3"/>
        <v>128.2800000000002</v>
      </c>
      <c r="D27" s="5">
        <f t="shared" ca="1" si="4"/>
        <v>3.1592946507733276E-2</v>
      </c>
    </row>
    <row r="28" spans="1:23" x14ac:dyDescent="0.2">
      <c r="A28" s="4" t="e" vm="4">
        <v>#VALUE!</v>
      </c>
      <c r="B28" cm="1">
        <f t="array" aca="1" ref="B28" ca="1">_FV(A28,"price")</f>
        <v>1641.9</v>
      </c>
      <c r="C28">
        <f t="shared" ca="1" si="3"/>
        <v>5.9100000000000819</v>
      </c>
      <c r="D28" s="5">
        <f t="shared" ca="1" si="4"/>
        <v>3.5994883975882098E-3</v>
      </c>
    </row>
    <row r="29" spans="1:23" x14ac:dyDescent="0.2">
      <c r="A29" s="4" t="e" vm="5">
        <v>#VALUE!</v>
      </c>
      <c r="B29" cm="1">
        <f t="array" aca="1" ref="B29" ca="1">_FV(A29,"price")</f>
        <v>2773.1</v>
      </c>
      <c r="C29">
        <f t="shared" ca="1" si="3"/>
        <v>45.960000000000036</v>
      </c>
      <c r="D29" s="5">
        <f t="shared" ca="1" si="4"/>
        <v>1.6573509790487193E-2</v>
      </c>
    </row>
    <row r="30" spans="1:23" x14ac:dyDescent="0.2">
      <c r="A30" s="4" t="e" vm="6">
        <v>#VALUE!</v>
      </c>
      <c r="B30" cm="1">
        <f t="array" aca="1" ref="B30" ca="1">_FV(A30,"price")</f>
        <v>2034.9</v>
      </c>
      <c r="C30">
        <f t="shared" ca="1" si="3"/>
        <v>46.090000000000146</v>
      </c>
      <c r="D30" s="5">
        <f t="shared" ca="1" si="4"/>
        <v>2.2649761659049656E-2</v>
      </c>
    </row>
    <row r="31" spans="1:23" x14ac:dyDescent="0.2">
      <c r="A31" s="4" t="e" vm="7">
        <v>#VALUE!</v>
      </c>
      <c r="B31" cm="1">
        <f t="array" aca="1" ref="B31" ca="1">_FV(A31,"price")</f>
        <v>4136.3</v>
      </c>
      <c r="C31">
        <f t="shared" ca="1" si="3"/>
        <v>149.71000000000004</v>
      </c>
      <c r="D31" s="5">
        <f t="shared" ca="1" si="4"/>
        <v>3.6194183207214181E-2</v>
      </c>
    </row>
    <row r="32" spans="1:23" x14ac:dyDescent="0.2">
      <c r="A32" s="4" t="e" vm="8">
        <v>#VALUE!</v>
      </c>
      <c r="B32" cm="1">
        <f t="array" aca="1" ref="B32" ca="1">_FV(A32,"price")</f>
        <v>792.3</v>
      </c>
      <c r="C32">
        <f t="shared" ca="1" si="3"/>
        <v>29.8599999999999</v>
      </c>
      <c r="D32" s="5">
        <f t="shared" ca="1" si="4"/>
        <v>3.7687744541209017E-2</v>
      </c>
    </row>
    <row r="33" spans="1:4" x14ac:dyDescent="0.2">
      <c r="A33" s="4" t="e" vm="9">
        <v>#VALUE!</v>
      </c>
      <c r="B33" cm="1">
        <f t="array" aca="1" ref="B33" ca="1">_FV(A33,"price")</f>
        <v>83</v>
      </c>
      <c r="C33">
        <f t="shared" ca="1" si="3"/>
        <v>1.6299999999999955</v>
      </c>
      <c r="D33" s="5">
        <f t="shared" ca="1" si="4"/>
        <v>1.9638554216867415E-2</v>
      </c>
    </row>
    <row r="34" spans="1:4" x14ac:dyDescent="0.2">
      <c r="A34" s="4" t="e" vm="10">
        <v>#VALUE!</v>
      </c>
      <c r="B34" cm="1">
        <f t="array" aca="1" ref="B34" ca="1">_FV(A34,"price")</f>
        <v>671</v>
      </c>
      <c r="C34">
        <f t="shared" ca="1" si="3"/>
        <v>30.799999999999955</v>
      </c>
      <c r="D34" s="5">
        <f t="shared" ca="1" si="4"/>
        <v>4.5901639344262224E-2</v>
      </c>
    </row>
    <row r="35" spans="1:4" x14ac:dyDescent="0.2">
      <c r="A35" s="4" t="e" vm="11">
        <v>#VALUE!</v>
      </c>
      <c r="B35" cm="1">
        <f t="array" aca="1" ref="B35" ca="1">_FV(A35,"price")</f>
        <v>1058.3</v>
      </c>
      <c r="C35">
        <f t="shared" ca="1" si="3"/>
        <v>58.229999999999905</v>
      </c>
      <c r="D35" s="5">
        <f t="shared" ca="1" si="4"/>
        <v>5.502220542379279E-2</v>
      </c>
    </row>
    <row r="36" spans="1:4" x14ac:dyDescent="0.2">
      <c r="A36" s="4" t="e" vm="12">
        <v>#VALUE!</v>
      </c>
      <c r="B36" cm="1">
        <f t="array" aca="1" ref="B36" ca="1">_FV(A36,"price")</f>
        <v>4399.2</v>
      </c>
      <c r="C36">
        <f t="shared" ca="1" si="3"/>
        <v>-51.329999999999927</v>
      </c>
      <c r="D36" s="5">
        <f t="shared" ca="1" si="4"/>
        <v>-1.1668030551009258E-2</v>
      </c>
    </row>
    <row r="37" spans="1:4" x14ac:dyDescent="0.2">
      <c r="A37" s="4" t="e" vm="13">
        <v>#VALUE!</v>
      </c>
      <c r="B37" cm="1">
        <f t="array" aca="1" ref="B37" ca="1">_FV(A37,"price")</f>
        <v>1573.4</v>
      </c>
      <c r="C37">
        <f t="shared" ca="1" si="3"/>
        <v>37.590000000000146</v>
      </c>
      <c r="D37" s="5">
        <f t="shared" ca="1" si="4"/>
        <v>2.3890936824710909E-2</v>
      </c>
    </row>
    <row r="38" spans="1:4" x14ac:dyDescent="0.2">
      <c r="A38" s="4" t="e" vm="14">
        <v>#VALUE!</v>
      </c>
      <c r="B38" cm="1">
        <f t="array" aca="1" ref="B38" ca="1">_FV(A38,"price")</f>
        <v>3824</v>
      </c>
      <c r="C38">
        <f t="shared" ca="1" si="3"/>
        <v>83.960000000000036</v>
      </c>
      <c r="D38" s="5">
        <f t="shared" ca="1" si="4"/>
        <v>2.1956066945606704E-2</v>
      </c>
    </row>
    <row r="39" spans="1:4" x14ac:dyDescent="0.2">
      <c r="A39" s="4" t="e" vm="15">
        <v>#VALUE!</v>
      </c>
      <c r="B39" cm="1">
        <f t="array" aca="1" ref="B39" ca="1">_FV(A39,"price")</f>
        <v>892.8</v>
      </c>
      <c r="C39">
        <f t="shared" ca="1" si="3"/>
        <v>32.990000000000009</v>
      </c>
      <c r="D39" s="5">
        <f t="shared" ca="1" si="4"/>
        <v>3.6951164874551981E-2</v>
      </c>
    </row>
    <row r="40" spans="1:4" x14ac:dyDescent="0.2">
      <c r="A40" s="4" t="e" vm="16">
        <v>#VALUE!</v>
      </c>
      <c r="B40" cm="1">
        <f t="array" aca="1" ref="B40" ca="1">_FV(A40,"price")</f>
        <v>3840.1</v>
      </c>
      <c r="C40">
        <f t="shared" ca="1" si="3"/>
        <v>80.75</v>
      </c>
      <c r="D40" s="5">
        <f t="shared" ca="1" si="4"/>
        <v>2.1028098226608682E-2</v>
      </c>
    </row>
    <row r="41" spans="1:4" x14ac:dyDescent="0.2">
      <c r="A41" s="4" t="e" vm="17">
        <v>#VALUE!</v>
      </c>
      <c r="B41" cm="1">
        <f t="array" aca="1" ref="B41" ca="1">_FV(A41,"price")</f>
        <v>2209</v>
      </c>
      <c r="C41">
        <f t="shared" ca="1" si="3"/>
        <v>77.260000000000218</v>
      </c>
      <c r="D41" s="5">
        <f t="shared" ca="1" si="4"/>
        <v>3.4975101856043557E-2</v>
      </c>
    </row>
    <row r="42" spans="1:4" x14ac:dyDescent="0.2">
      <c r="A42" s="4" t="e" vm="18">
        <v>#VALUE!</v>
      </c>
      <c r="B42" cm="1">
        <f t="array" aca="1" ref="B42" ca="1">_FV(A42,"price")</f>
        <v>1185.2</v>
      </c>
      <c r="C42">
        <f t="shared" ca="1" si="3"/>
        <v>-2.9099999999998545</v>
      </c>
      <c r="D42" s="5">
        <f t="shared" ca="1" si="4"/>
        <v>-2.4552818089772651E-3</v>
      </c>
    </row>
    <row r="43" spans="1:4" x14ac:dyDescent="0.2">
      <c r="A43" s="4" t="e" vm="19">
        <v>#VALUE!</v>
      </c>
      <c r="B43" cm="1">
        <f t="array" aca="1" ref="B43" ca="1">_FV(A43,"price")</f>
        <v>1633.6</v>
      </c>
      <c r="C43">
        <f t="shared" ca="1" si="3"/>
        <v>2.3399999999999181</v>
      </c>
      <c r="D43" s="5">
        <f t="shared" ca="1" si="4"/>
        <v>1.4324191968657677E-3</v>
      </c>
    </row>
    <row r="44" spans="1:4" x14ac:dyDescent="0.2">
      <c r="A44" s="4" t="e" vm="20">
        <v>#VALUE!</v>
      </c>
      <c r="B44" cm="1">
        <f t="array" aca="1" ref="B44" ca="1">_FV(A44,"price")</f>
        <v>2113.3000000000002</v>
      </c>
      <c r="C44">
        <f t="shared" ca="1" si="3"/>
        <v>39.480000000000018</v>
      </c>
      <c r="D44" s="5">
        <f t="shared" ca="1" si="4"/>
        <v>1.8681682676382916E-2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6"/>
  <sheetViews>
    <sheetView workbookViewId="0">
      <selection activeCell="A39" sqref="A39"/>
    </sheetView>
  </sheetViews>
  <sheetFormatPr baseColWidth="10" defaultColWidth="8.83203125" defaultRowHeight="15" x14ac:dyDescent="0.2"/>
  <cols>
    <col min="1" max="1" width="20.33203125" customWidth="1"/>
    <col min="2" max="2" width="15.5" bestFit="1" customWidth="1"/>
    <col min="12" max="12" width="32" customWidth="1"/>
    <col min="13" max="13" width="24.83203125" customWidth="1"/>
    <col min="22" max="22" width="41.33203125" customWidth="1"/>
    <col min="23" max="23" width="10.1640625" bestFit="1"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7" x14ac:dyDescent="0.2">
      <c r="A2" t="s">
        <v>42</v>
      </c>
      <c r="B2" s="2">
        <v>46017</v>
      </c>
      <c r="C2">
        <v>1487.1</v>
      </c>
      <c r="D2">
        <v>1465.1</v>
      </c>
      <c r="E2">
        <v>-1.48</v>
      </c>
      <c r="F2">
        <v>57.28</v>
      </c>
      <c r="G2">
        <v>1.62</v>
      </c>
      <c r="H2">
        <v>1485.39</v>
      </c>
      <c r="I2">
        <v>0.12</v>
      </c>
      <c r="J2">
        <v>0.43</v>
      </c>
      <c r="K2">
        <v>0.7</v>
      </c>
      <c r="L2" t="s">
        <v>20</v>
      </c>
      <c r="M2">
        <v>1470.54</v>
      </c>
      <c r="N2">
        <v>1501.97</v>
      </c>
      <c r="O2">
        <v>1427.62</v>
      </c>
      <c r="P2">
        <v>1561.45</v>
      </c>
      <c r="Q2">
        <v>1635.81</v>
      </c>
      <c r="R2">
        <v>58</v>
      </c>
      <c r="S2" t="s">
        <v>21</v>
      </c>
      <c r="V2" s="3" t="e" vm="21">
        <v>#VALUE!</v>
      </c>
      <c r="W2" cm="1">
        <f t="array" aca="1" ref="W2" ca="1">_FV(V2,"price")</f>
        <v>1481.5</v>
      </c>
      <c r="X2">
        <f ca="1">M2-W2</f>
        <v>-10.960000000000036</v>
      </c>
      <c r="Y2" s="5">
        <f ca="1">X2/W2</f>
        <v>-7.3979075261559474E-3</v>
      </c>
    </row>
    <row r="3" spans="1:27" x14ac:dyDescent="0.2">
      <c r="A3" t="s">
        <v>25</v>
      </c>
      <c r="B3" s="2">
        <v>46017</v>
      </c>
      <c r="C3">
        <v>2746.5</v>
      </c>
      <c r="D3">
        <v>2756.4</v>
      </c>
      <c r="E3">
        <v>0.36</v>
      </c>
      <c r="F3">
        <v>57.69</v>
      </c>
      <c r="G3">
        <v>21.3</v>
      </c>
      <c r="H3">
        <v>2754.69</v>
      </c>
      <c r="I3">
        <v>-0.3</v>
      </c>
      <c r="J3">
        <v>0.35</v>
      </c>
      <c r="K3">
        <v>0.42</v>
      </c>
      <c r="L3" t="s">
        <v>20</v>
      </c>
      <c r="M3">
        <v>2727.14</v>
      </c>
      <c r="N3">
        <v>2773.96</v>
      </c>
      <c r="O3">
        <v>2636.64</v>
      </c>
      <c r="P3">
        <v>2883.82</v>
      </c>
      <c r="Q3">
        <v>3021.15</v>
      </c>
      <c r="R3">
        <v>73</v>
      </c>
      <c r="S3" t="s">
        <v>21</v>
      </c>
      <c r="V3" s="3" t="e" vm="5">
        <v>#VALUE!</v>
      </c>
      <c r="W3" cm="1">
        <f t="array" aca="1" ref="W3" ca="1">_FV(V3,"price")</f>
        <v>2773.1</v>
      </c>
      <c r="X3">
        <f t="shared" ref="X3:X36" ca="1" si="0">M3-W3</f>
        <v>-45.960000000000036</v>
      </c>
      <c r="Y3" s="5">
        <f t="shared" ref="Y3:Y36" ca="1" si="1">X3/W3</f>
        <v>-1.6573509790487193E-2</v>
      </c>
    </row>
    <row r="4" spans="1:27" x14ac:dyDescent="0.2">
      <c r="A4" t="s">
        <v>43</v>
      </c>
      <c r="B4" s="2">
        <v>46017</v>
      </c>
      <c r="C4">
        <v>1228.2</v>
      </c>
      <c r="D4">
        <v>1227.4000000000001</v>
      </c>
      <c r="E4">
        <v>-7.0000000000000007E-2</v>
      </c>
      <c r="F4">
        <v>56.5</v>
      </c>
      <c r="G4">
        <v>3.81</v>
      </c>
      <c r="H4">
        <v>1252.2</v>
      </c>
      <c r="I4">
        <v>-1.92</v>
      </c>
      <c r="J4">
        <v>0.36</v>
      </c>
      <c r="K4">
        <v>0.34</v>
      </c>
      <c r="L4" t="s">
        <v>20</v>
      </c>
      <c r="M4">
        <v>1239.68</v>
      </c>
      <c r="N4">
        <v>1240.48</v>
      </c>
      <c r="O4">
        <v>1179.07</v>
      </c>
      <c r="P4">
        <v>1289.6099999999999</v>
      </c>
      <c r="Q4">
        <v>1351.02</v>
      </c>
      <c r="R4">
        <v>58</v>
      </c>
      <c r="S4" t="s">
        <v>21</v>
      </c>
      <c r="V4" s="3" t="e" vm="22">
        <v>#VALUE!</v>
      </c>
      <c r="W4" cm="1">
        <f t="array" aca="1" ref="W4" ca="1">_FV(V4,"price")</f>
        <v>1275</v>
      </c>
      <c r="X4">
        <f t="shared" ca="1" si="0"/>
        <v>-35.319999999999936</v>
      </c>
      <c r="Y4" s="5">
        <f t="shared" ca="1" si="1"/>
        <v>-2.7701960784313674E-2</v>
      </c>
    </row>
    <row r="5" spans="1:27" x14ac:dyDescent="0.2">
      <c r="A5" t="s">
        <v>44</v>
      </c>
      <c r="B5" s="2">
        <v>46017</v>
      </c>
      <c r="C5">
        <v>9064.5</v>
      </c>
      <c r="D5">
        <v>9093</v>
      </c>
      <c r="E5">
        <v>0.31</v>
      </c>
      <c r="F5">
        <v>57.74</v>
      </c>
      <c r="G5">
        <v>2.89</v>
      </c>
      <c r="H5">
        <v>8968.9500000000007</v>
      </c>
      <c r="I5">
        <v>1.07</v>
      </c>
      <c r="J5">
        <v>0.48</v>
      </c>
      <c r="K5">
        <v>0.43</v>
      </c>
      <c r="L5" t="s">
        <v>20</v>
      </c>
      <c r="M5">
        <v>8928.5300000000007</v>
      </c>
      <c r="N5">
        <v>9155.14</v>
      </c>
      <c r="O5">
        <v>8699.8799999999992</v>
      </c>
      <c r="P5">
        <v>9517.7199999999993</v>
      </c>
      <c r="Q5">
        <v>9970.9500000000007</v>
      </c>
      <c r="R5">
        <v>58</v>
      </c>
      <c r="S5" t="s">
        <v>21</v>
      </c>
      <c r="V5" s="3" t="e" vm="23">
        <v>#VALUE!</v>
      </c>
      <c r="W5" cm="1">
        <f t="array" aca="1" ref="W5" ca="1">_FV(V5,"price")</f>
        <v>9452.5</v>
      </c>
      <c r="X5">
        <f t="shared" ca="1" si="0"/>
        <v>-523.96999999999935</v>
      </c>
      <c r="Y5" s="5">
        <f t="shared" ca="1" si="1"/>
        <v>-5.5431896323723813E-2</v>
      </c>
    </row>
    <row r="6" spans="1:27" x14ac:dyDescent="0.2">
      <c r="A6" t="s">
        <v>45</v>
      </c>
      <c r="B6" s="2">
        <v>46017</v>
      </c>
      <c r="C6">
        <v>366</v>
      </c>
      <c r="D6">
        <v>367.9</v>
      </c>
      <c r="E6">
        <v>0.52</v>
      </c>
      <c r="F6">
        <v>67.78</v>
      </c>
      <c r="G6">
        <v>1.54</v>
      </c>
      <c r="H6">
        <v>359.25</v>
      </c>
      <c r="I6">
        <v>1.88</v>
      </c>
      <c r="J6">
        <v>0.39</v>
      </c>
      <c r="K6">
        <v>0.48</v>
      </c>
      <c r="L6" t="s">
        <v>20</v>
      </c>
      <c r="M6">
        <v>360.51</v>
      </c>
      <c r="N6">
        <v>369.66</v>
      </c>
      <c r="O6">
        <v>348.47</v>
      </c>
      <c r="P6">
        <v>384.3</v>
      </c>
      <c r="Q6">
        <v>402.6</v>
      </c>
      <c r="R6">
        <v>65</v>
      </c>
      <c r="S6" t="s">
        <v>21</v>
      </c>
      <c r="V6" s="3" t="e" vm="24">
        <v>#VALUE!</v>
      </c>
      <c r="W6" cm="1">
        <f t="array" aca="1" ref="W6" ca="1">_FV(V6,"price")</f>
        <v>379.6</v>
      </c>
      <c r="X6">
        <f t="shared" ca="1" si="0"/>
        <v>-19.090000000000032</v>
      </c>
      <c r="Y6" s="5">
        <f t="shared" ca="1" si="1"/>
        <v>-5.028977871443633E-2</v>
      </c>
    </row>
    <row r="7" spans="1:27" x14ac:dyDescent="0.2">
      <c r="A7" t="s">
        <v>41</v>
      </c>
      <c r="B7" s="2">
        <v>46017</v>
      </c>
      <c r="C7">
        <v>2105.4</v>
      </c>
      <c r="D7">
        <v>2094.1999999999998</v>
      </c>
      <c r="E7">
        <v>-0.53</v>
      </c>
      <c r="F7">
        <v>62.29</v>
      </c>
      <c r="G7">
        <v>2.4700000000000002</v>
      </c>
      <c r="H7">
        <v>2084.5300000000002</v>
      </c>
      <c r="I7">
        <v>1</v>
      </c>
      <c r="J7">
        <v>0.54</v>
      </c>
      <c r="K7">
        <v>0.14000000000000001</v>
      </c>
      <c r="L7" t="s">
        <v>20</v>
      </c>
      <c r="M7">
        <v>2073.8200000000002</v>
      </c>
      <c r="N7">
        <v>2126.4499999999998</v>
      </c>
      <c r="O7">
        <v>2021.18</v>
      </c>
      <c r="P7">
        <v>2210.67</v>
      </c>
      <c r="Q7">
        <v>2315.94</v>
      </c>
      <c r="R7">
        <v>65</v>
      </c>
      <c r="S7" t="s">
        <v>21</v>
      </c>
      <c r="V7" s="3" t="e" vm="20">
        <v>#VALUE!</v>
      </c>
      <c r="W7" cm="1">
        <f t="array" aca="1" ref="W7" ca="1">_FV(V7,"price")</f>
        <v>2113.3000000000002</v>
      </c>
      <c r="X7">
        <f t="shared" ca="1" si="0"/>
        <v>-39.480000000000018</v>
      </c>
      <c r="Y7" s="5">
        <f t="shared" ca="1" si="1"/>
        <v>-1.8681682676382916E-2</v>
      </c>
    </row>
    <row r="8" spans="1:27" x14ac:dyDescent="0.2">
      <c r="A8" t="s">
        <v>19</v>
      </c>
      <c r="B8" s="2">
        <v>46017</v>
      </c>
      <c r="C8">
        <v>402.15</v>
      </c>
      <c r="D8">
        <v>400.45</v>
      </c>
      <c r="E8">
        <v>-0.42</v>
      </c>
      <c r="F8">
        <v>64.34</v>
      </c>
      <c r="G8">
        <v>1.86</v>
      </c>
      <c r="H8">
        <v>383.04</v>
      </c>
      <c r="I8">
        <v>4.99</v>
      </c>
      <c r="J8">
        <v>1.74</v>
      </c>
      <c r="K8">
        <v>0.54</v>
      </c>
      <c r="L8" t="s">
        <v>20</v>
      </c>
      <c r="M8">
        <v>396.12</v>
      </c>
      <c r="N8">
        <v>406.17</v>
      </c>
      <c r="O8">
        <v>371.55</v>
      </c>
      <c r="P8">
        <v>422.26</v>
      </c>
      <c r="Q8">
        <v>442.36</v>
      </c>
      <c r="R8">
        <v>80</v>
      </c>
      <c r="S8" t="s">
        <v>21</v>
      </c>
      <c r="V8" s="3" t="e" vm="1">
        <v>#VALUE!</v>
      </c>
      <c r="W8" cm="1">
        <f t="array" aca="1" ref="W8" ca="1">_FV(V8,"price")</f>
        <v>400.75</v>
      </c>
      <c r="X8">
        <f t="shared" ca="1" si="0"/>
        <v>-4.6299999999999955</v>
      </c>
      <c r="Y8" s="5">
        <f t="shared" ca="1" si="1"/>
        <v>-1.1553337492202109E-2</v>
      </c>
    </row>
    <row r="9" spans="1:27" x14ac:dyDescent="0.2">
      <c r="A9" t="s">
        <v>24</v>
      </c>
      <c r="B9" s="2">
        <v>46017</v>
      </c>
      <c r="C9">
        <v>1660.9</v>
      </c>
      <c r="D9">
        <v>1644.9</v>
      </c>
      <c r="E9">
        <v>-0.96</v>
      </c>
      <c r="F9">
        <v>60.69</v>
      </c>
      <c r="G9">
        <v>23.94</v>
      </c>
      <c r="H9">
        <v>1606.4</v>
      </c>
      <c r="I9">
        <v>3.39</v>
      </c>
      <c r="J9">
        <v>0.4</v>
      </c>
      <c r="K9">
        <v>0.52</v>
      </c>
      <c r="L9" t="s">
        <v>20</v>
      </c>
      <c r="M9">
        <v>1635.99</v>
      </c>
      <c r="N9">
        <v>1677.51</v>
      </c>
      <c r="O9">
        <v>1558.21</v>
      </c>
      <c r="P9">
        <v>1743.95</v>
      </c>
      <c r="Q9">
        <v>1826.99</v>
      </c>
      <c r="R9">
        <v>75</v>
      </c>
      <c r="S9" t="s">
        <v>21</v>
      </c>
      <c r="V9" s="3" t="e" vm="4">
        <v>#VALUE!</v>
      </c>
      <c r="W9" cm="1">
        <f t="array" aca="1" ref="W9" ca="1">_FV(V9,"price")</f>
        <v>1641.9</v>
      </c>
      <c r="X9">
        <f t="shared" ca="1" si="0"/>
        <v>-5.9100000000000819</v>
      </c>
      <c r="Y9" s="5">
        <f t="shared" ca="1" si="1"/>
        <v>-3.5994883975882098E-3</v>
      </c>
      <c r="Z9">
        <f ca="1">Y9-W9</f>
        <v>-1641.9035994883977</v>
      </c>
      <c r="AA9">
        <f ca="1">Z9/W9</f>
        <v>-1.0000021922701734</v>
      </c>
    </row>
    <row r="10" spans="1:27" x14ac:dyDescent="0.2">
      <c r="A10" t="s">
        <v>36</v>
      </c>
      <c r="B10" s="2">
        <v>46017</v>
      </c>
      <c r="C10">
        <v>872.9</v>
      </c>
      <c r="D10">
        <v>864.5</v>
      </c>
      <c r="E10">
        <v>-0.96</v>
      </c>
      <c r="F10">
        <v>69.69</v>
      </c>
      <c r="G10">
        <v>5.07</v>
      </c>
      <c r="H10">
        <v>825.27</v>
      </c>
      <c r="I10">
        <v>5.77</v>
      </c>
      <c r="J10">
        <v>0.66</v>
      </c>
      <c r="K10">
        <v>1.46</v>
      </c>
      <c r="L10" t="s">
        <v>30</v>
      </c>
      <c r="M10">
        <v>859.81</v>
      </c>
      <c r="N10">
        <v>881.63</v>
      </c>
      <c r="O10">
        <v>800.51</v>
      </c>
      <c r="P10">
        <v>916.55</v>
      </c>
      <c r="Q10">
        <v>960.19</v>
      </c>
      <c r="R10">
        <v>68</v>
      </c>
      <c r="S10" t="s">
        <v>21</v>
      </c>
      <c r="V10" s="3" t="e" vm="15">
        <v>#VALUE!</v>
      </c>
      <c r="W10" cm="1">
        <f t="array" aca="1" ref="W10" ca="1">_FV(V10,"price")</f>
        <v>892.8</v>
      </c>
      <c r="X10">
        <f t="shared" ca="1" si="0"/>
        <v>-32.990000000000009</v>
      </c>
      <c r="Y10" s="5">
        <f t="shared" ca="1" si="1"/>
        <v>-3.6951164874551981E-2</v>
      </c>
    </row>
    <row r="11" spans="1:27" x14ac:dyDescent="0.2">
      <c r="A11" t="s">
        <v>46</v>
      </c>
      <c r="B11" s="2">
        <v>46017</v>
      </c>
      <c r="C11">
        <v>849.85</v>
      </c>
      <c r="D11">
        <v>839.6</v>
      </c>
      <c r="E11">
        <v>-1.21</v>
      </c>
      <c r="F11">
        <v>56.09</v>
      </c>
      <c r="G11">
        <v>13.94</v>
      </c>
      <c r="H11">
        <v>831.12</v>
      </c>
      <c r="I11">
        <v>2.25</v>
      </c>
      <c r="J11">
        <v>0.56999999999999995</v>
      </c>
      <c r="K11">
        <v>0.45</v>
      </c>
      <c r="L11" t="s">
        <v>20</v>
      </c>
      <c r="M11">
        <v>837.1</v>
      </c>
      <c r="N11">
        <v>858.35</v>
      </c>
      <c r="O11">
        <v>806.19</v>
      </c>
      <c r="P11">
        <v>892.34</v>
      </c>
      <c r="Q11">
        <v>934.83</v>
      </c>
      <c r="R11">
        <v>61</v>
      </c>
      <c r="S11" t="s">
        <v>21</v>
      </c>
      <c r="V11" s="3" t="e" vm="25">
        <v>#VALUE!</v>
      </c>
      <c r="W11" cm="1">
        <f t="array" aca="1" ref="W11" ca="1">_FV(V11,"price")</f>
        <v>886</v>
      </c>
      <c r="X11">
        <f t="shared" ca="1" si="0"/>
        <v>-48.899999999999977</v>
      </c>
      <c r="Y11" s="5">
        <f t="shared" ca="1" si="1"/>
        <v>-5.5191873589164761E-2</v>
      </c>
    </row>
    <row r="12" spans="1:27" x14ac:dyDescent="0.2">
      <c r="A12" t="s">
        <v>40</v>
      </c>
      <c r="B12" s="2">
        <v>46017</v>
      </c>
      <c r="C12">
        <v>1656.1</v>
      </c>
      <c r="D12">
        <v>1642.9</v>
      </c>
      <c r="E12">
        <v>-0.8</v>
      </c>
      <c r="F12">
        <v>62.24</v>
      </c>
      <c r="G12">
        <v>25.34</v>
      </c>
      <c r="H12">
        <v>1557.86</v>
      </c>
      <c r="I12">
        <v>6.31</v>
      </c>
      <c r="J12">
        <v>0.92</v>
      </c>
      <c r="K12">
        <v>0.28999999999999998</v>
      </c>
      <c r="L12" t="s">
        <v>20</v>
      </c>
      <c r="M12">
        <v>1631.26</v>
      </c>
      <c r="N12">
        <v>1672.66</v>
      </c>
      <c r="O12">
        <v>1511.12</v>
      </c>
      <c r="P12">
        <v>1738.9</v>
      </c>
      <c r="Q12">
        <v>1821.71</v>
      </c>
      <c r="R12">
        <v>65</v>
      </c>
      <c r="S12" t="s">
        <v>21</v>
      </c>
      <c r="V12" s="3" t="e" vm="19">
        <v>#VALUE!</v>
      </c>
      <c r="W12" cm="1">
        <f t="array" aca="1" ref="W12" ca="1">_FV(V12,"price")</f>
        <v>1633.6</v>
      </c>
      <c r="X12">
        <f t="shared" ca="1" si="0"/>
        <v>-2.3399999999999181</v>
      </c>
      <c r="Y12" s="5">
        <f t="shared" ca="1" si="1"/>
        <v>-1.4324191968657677E-3</v>
      </c>
    </row>
    <row r="13" spans="1:27" x14ac:dyDescent="0.2">
      <c r="A13" t="s">
        <v>38</v>
      </c>
      <c r="B13" s="2">
        <v>46017</v>
      </c>
      <c r="C13">
        <v>2164.1999999999998</v>
      </c>
      <c r="D13">
        <v>2156.6</v>
      </c>
      <c r="E13">
        <v>-0.35</v>
      </c>
      <c r="F13">
        <v>57.61</v>
      </c>
      <c r="G13">
        <v>6.13</v>
      </c>
      <c r="H13">
        <v>2132.46</v>
      </c>
      <c r="I13">
        <v>1.49</v>
      </c>
      <c r="J13">
        <v>0.39</v>
      </c>
      <c r="K13">
        <v>0.33</v>
      </c>
      <c r="L13" t="s">
        <v>20</v>
      </c>
      <c r="M13">
        <v>2131.7399999999998</v>
      </c>
      <c r="N13">
        <v>2185.84</v>
      </c>
      <c r="O13">
        <v>2068.4899999999998</v>
      </c>
      <c r="P13">
        <v>2272.41</v>
      </c>
      <c r="Q13">
        <v>2380.62</v>
      </c>
      <c r="R13">
        <v>66</v>
      </c>
      <c r="S13" t="s">
        <v>21</v>
      </c>
      <c r="V13" s="3" t="e" vm="17">
        <v>#VALUE!</v>
      </c>
      <c r="W13" cm="1">
        <f t="array" aca="1" ref="W13" ca="1">_FV(V13,"price")</f>
        <v>2209</v>
      </c>
      <c r="X13">
        <f t="shared" ca="1" si="0"/>
        <v>-77.260000000000218</v>
      </c>
      <c r="Y13" s="5">
        <f t="shared" ca="1" si="1"/>
        <v>-3.4975101856043557E-2</v>
      </c>
    </row>
    <row r="14" spans="1:27" x14ac:dyDescent="0.2">
      <c r="A14" t="s">
        <v>27</v>
      </c>
      <c r="B14" s="2">
        <v>46017</v>
      </c>
      <c r="C14">
        <v>4047.3</v>
      </c>
      <c r="D14">
        <v>4047.7</v>
      </c>
      <c r="E14">
        <v>0.01</v>
      </c>
      <c r="F14">
        <v>64.680000000000007</v>
      </c>
      <c r="G14">
        <v>14.05</v>
      </c>
      <c r="H14">
        <v>4015.03</v>
      </c>
      <c r="I14">
        <v>0.8</v>
      </c>
      <c r="J14">
        <v>0.56000000000000005</v>
      </c>
      <c r="K14">
        <v>0.31</v>
      </c>
      <c r="L14" t="s">
        <v>20</v>
      </c>
      <c r="M14">
        <v>3986.59</v>
      </c>
      <c r="N14">
        <v>4087.77</v>
      </c>
      <c r="O14">
        <v>3885.41</v>
      </c>
      <c r="P14">
        <v>4249.67</v>
      </c>
      <c r="Q14">
        <v>4452.03</v>
      </c>
      <c r="R14">
        <v>73</v>
      </c>
      <c r="S14" t="s">
        <v>21</v>
      </c>
      <c r="V14" s="3" t="e" vm="7">
        <v>#VALUE!</v>
      </c>
      <c r="W14" cm="1">
        <f t="array" aca="1" ref="W14" ca="1">_FV(V14,"price")</f>
        <v>4136.3</v>
      </c>
      <c r="X14">
        <f t="shared" ca="1" si="0"/>
        <v>-149.71000000000004</v>
      </c>
      <c r="Y14" s="5">
        <f t="shared" ca="1" si="1"/>
        <v>-3.6194183207214181E-2</v>
      </c>
    </row>
    <row r="15" spans="1:27" x14ac:dyDescent="0.2">
      <c r="A15" t="s">
        <v>47</v>
      </c>
      <c r="B15" s="2">
        <v>46017</v>
      </c>
      <c r="C15">
        <v>1272.5999999999999</v>
      </c>
      <c r="D15">
        <v>1282.8</v>
      </c>
      <c r="E15">
        <v>0.8</v>
      </c>
      <c r="F15">
        <v>58.99</v>
      </c>
      <c r="G15">
        <v>0.55000000000000004</v>
      </c>
      <c r="H15">
        <v>1263.19</v>
      </c>
      <c r="I15">
        <v>0.74</v>
      </c>
      <c r="J15">
        <v>0.64</v>
      </c>
      <c r="K15">
        <v>0.63</v>
      </c>
      <c r="L15" t="s">
        <v>20</v>
      </c>
      <c r="M15">
        <v>1253.51</v>
      </c>
      <c r="N15">
        <v>1285.33</v>
      </c>
      <c r="O15">
        <v>1221.7</v>
      </c>
      <c r="P15">
        <v>1336.23</v>
      </c>
      <c r="Q15">
        <v>1399.86</v>
      </c>
      <c r="R15">
        <v>58</v>
      </c>
      <c r="S15" t="s">
        <v>21</v>
      </c>
      <c r="V15" s="3" t="e" vm="26">
        <v>#VALUE!</v>
      </c>
      <c r="W15" cm="1">
        <f t="array" aca="1" ref="W15" ca="1">_FV(V15,"price")</f>
        <v>1296.5</v>
      </c>
      <c r="X15">
        <f t="shared" ca="1" si="0"/>
        <v>-42.990000000000009</v>
      </c>
      <c r="Y15" s="5">
        <f t="shared" ca="1" si="1"/>
        <v>-3.3158503663709996E-2</v>
      </c>
    </row>
    <row r="16" spans="1:27" x14ac:dyDescent="0.2">
      <c r="A16" t="s">
        <v>34</v>
      </c>
      <c r="B16" s="2">
        <v>46017</v>
      </c>
      <c r="C16">
        <v>1559.2</v>
      </c>
      <c r="D16">
        <v>1547.5</v>
      </c>
      <c r="E16">
        <v>-0.75</v>
      </c>
      <c r="F16">
        <v>65.11</v>
      </c>
      <c r="G16">
        <v>10.76</v>
      </c>
      <c r="H16">
        <v>1527.04</v>
      </c>
      <c r="I16">
        <v>2.11</v>
      </c>
      <c r="J16">
        <v>0.6</v>
      </c>
      <c r="K16">
        <v>0.28000000000000003</v>
      </c>
      <c r="L16" t="s">
        <v>20</v>
      </c>
      <c r="M16">
        <v>1535.81</v>
      </c>
      <c r="N16">
        <v>1574.79</v>
      </c>
      <c r="O16">
        <v>1481.23</v>
      </c>
      <c r="P16">
        <v>1637.16</v>
      </c>
      <c r="Q16">
        <v>1715.12</v>
      </c>
      <c r="R16">
        <v>68</v>
      </c>
      <c r="S16" t="s">
        <v>21</v>
      </c>
      <c r="V16" s="3" t="e" vm="13">
        <v>#VALUE!</v>
      </c>
      <c r="W16" cm="1">
        <f t="array" aca="1" ref="W16" ca="1">_FV(V16,"price")</f>
        <v>1573.4</v>
      </c>
      <c r="X16">
        <f t="shared" ca="1" si="0"/>
        <v>-37.590000000000146</v>
      </c>
      <c r="Y16" s="5">
        <f t="shared" ca="1" si="1"/>
        <v>-2.3890936824710909E-2</v>
      </c>
    </row>
    <row r="17" spans="1:25" x14ac:dyDescent="0.2">
      <c r="A17" t="s">
        <v>26</v>
      </c>
      <c r="B17" s="2">
        <v>46017</v>
      </c>
      <c r="C17">
        <v>2019.1</v>
      </c>
      <c r="D17">
        <v>2016.9</v>
      </c>
      <c r="E17">
        <v>-0.11</v>
      </c>
      <c r="F17">
        <v>66.42</v>
      </c>
      <c r="G17">
        <v>6.76</v>
      </c>
      <c r="H17">
        <v>1988.09</v>
      </c>
      <c r="I17">
        <v>1.56</v>
      </c>
      <c r="J17">
        <v>0.33</v>
      </c>
      <c r="K17">
        <v>0.28000000000000003</v>
      </c>
      <c r="L17" t="s">
        <v>20</v>
      </c>
      <c r="M17">
        <v>1988.81</v>
      </c>
      <c r="N17">
        <v>2039.29</v>
      </c>
      <c r="O17">
        <v>1928.45</v>
      </c>
      <c r="P17">
        <v>2120.0500000000002</v>
      </c>
      <c r="Q17">
        <v>2221.0100000000002</v>
      </c>
      <c r="R17">
        <v>73</v>
      </c>
      <c r="S17" t="s">
        <v>21</v>
      </c>
      <c r="V17" s="3" t="e" vm="6">
        <v>#VALUE!</v>
      </c>
      <c r="W17" cm="1">
        <f t="array" aca="1" ref="W17" ca="1">_FV(V17,"price")</f>
        <v>2034.9</v>
      </c>
      <c r="X17">
        <f t="shared" ca="1" si="0"/>
        <v>-46.090000000000146</v>
      </c>
      <c r="Y17" s="5">
        <f t="shared" ca="1" si="1"/>
        <v>-2.2649761659049656E-2</v>
      </c>
    </row>
    <row r="18" spans="1:25" x14ac:dyDescent="0.2">
      <c r="A18" t="s">
        <v>48</v>
      </c>
      <c r="B18" s="2">
        <v>46017</v>
      </c>
      <c r="C18">
        <v>966.3</v>
      </c>
      <c r="D18">
        <v>964</v>
      </c>
      <c r="E18">
        <v>-0.24</v>
      </c>
      <c r="F18">
        <v>70.41</v>
      </c>
      <c r="G18">
        <v>4.24</v>
      </c>
      <c r="H18">
        <v>959.8</v>
      </c>
      <c r="I18">
        <v>0.68</v>
      </c>
      <c r="J18">
        <v>0.44</v>
      </c>
      <c r="K18">
        <v>0.35</v>
      </c>
      <c r="L18" t="s">
        <v>20</v>
      </c>
      <c r="M18">
        <v>951.81</v>
      </c>
      <c r="N18">
        <v>975.96</v>
      </c>
      <c r="O18">
        <v>927.65</v>
      </c>
      <c r="P18">
        <v>1014.61</v>
      </c>
      <c r="Q18">
        <v>1062.93</v>
      </c>
      <c r="R18">
        <v>58</v>
      </c>
      <c r="S18" t="s">
        <v>21</v>
      </c>
      <c r="V18" s="3" t="e" vm="27">
        <v>#VALUE!</v>
      </c>
      <c r="W18" cm="1">
        <f t="array" aca="1" ref="W18" ca="1">_FV(V18,"price")</f>
        <v>984.15</v>
      </c>
      <c r="X18">
        <f t="shared" ca="1" si="0"/>
        <v>-32.340000000000032</v>
      </c>
      <c r="Y18" s="5">
        <f t="shared" ca="1" si="1"/>
        <v>-3.2860844383478159E-2</v>
      </c>
    </row>
    <row r="19" spans="1:25" x14ac:dyDescent="0.2">
      <c r="A19" t="s">
        <v>49</v>
      </c>
      <c r="B19" s="2">
        <v>46017</v>
      </c>
      <c r="C19">
        <v>1612.3</v>
      </c>
      <c r="D19">
        <v>1617.2</v>
      </c>
      <c r="E19">
        <v>0.3</v>
      </c>
      <c r="F19">
        <v>62.06</v>
      </c>
      <c r="G19">
        <v>22.2</v>
      </c>
      <c r="H19">
        <v>1505.68</v>
      </c>
      <c r="I19">
        <v>7.08</v>
      </c>
      <c r="J19">
        <v>0.49</v>
      </c>
      <c r="K19">
        <v>0.55000000000000004</v>
      </c>
      <c r="L19" t="s">
        <v>20</v>
      </c>
      <c r="M19">
        <v>1588.12</v>
      </c>
      <c r="N19">
        <v>1628.42</v>
      </c>
      <c r="O19">
        <v>1460.51</v>
      </c>
      <c r="P19">
        <v>1692.92</v>
      </c>
      <c r="Q19">
        <v>1773.53</v>
      </c>
      <c r="R19">
        <v>65</v>
      </c>
      <c r="S19" t="s">
        <v>21</v>
      </c>
      <c r="V19" s="3" t="e" vm="28">
        <v>#VALUE!</v>
      </c>
      <c r="W19" cm="1">
        <f t="array" aca="1" ref="W19" ca="1">_FV(V19,"price")</f>
        <v>1609.5</v>
      </c>
      <c r="X19">
        <f t="shared" ca="1" si="0"/>
        <v>-21.380000000000109</v>
      </c>
      <c r="Y19" s="5">
        <f t="shared" ca="1" si="1"/>
        <v>-1.3283628456042317E-2</v>
      </c>
    </row>
    <row r="20" spans="1:25" x14ac:dyDescent="0.2">
      <c r="A20" t="s">
        <v>23</v>
      </c>
      <c r="B20" s="2">
        <v>46017</v>
      </c>
      <c r="C20">
        <v>3992</v>
      </c>
      <c r="D20">
        <v>3999.2</v>
      </c>
      <c r="E20">
        <v>0.18</v>
      </c>
      <c r="F20">
        <v>66.2</v>
      </c>
      <c r="G20">
        <v>25.94</v>
      </c>
      <c r="H20">
        <v>3848.76</v>
      </c>
      <c r="I20">
        <v>3.72</v>
      </c>
      <c r="J20">
        <v>0.59</v>
      </c>
      <c r="K20">
        <v>1.1599999999999999</v>
      </c>
      <c r="L20" t="s">
        <v>20</v>
      </c>
      <c r="M20">
        <v>3932.12</v>
      </c>
      <c r="N20">
        <v>4031.92</v>
      </c>
      <c r="O20">
        <v>3733.3</v>
      </c>
      <c r="P20">
        <v>4191.6000000000004</v>
      </c>
      <c r="Q20">
        <v>4391.2</v>
      </c>
      <c r="R20">
        <v>75</v>
      </c>
      <c r="S20" t="s">
        <v>21</v>
      </c>
      <c r="V20" s="3" t="e" vm="3">
        <v>#VALUE!</v>
      </c>
      <c r="W20" cm="1">
        <f t="array" aca="1" ref="W20" ca="1">_FV(V20,"price")</f>
        <v>4060.4</v>
      </c>
      <c r="X20">
        <f t="shared" ca="1" si="0"/>
        <v>-128.2800000000002</v>
      </c>
      <c r="Y20" s="5">
        <f t="shared" ca="1" si="1"/>
        <v>-3.1592946507733276E-2</v>
      </c>
    </row>
    <row r="21" spans="1:25" x14ac:dyDescent="0.2">
      <c r="A21" t="s">
        <v>28</v>
      </c>
      <c r="B21" s="2">
        <v>46017</v>
      </c>
      <c r="C21">
        <v>774.05</v>
      </c>
      <c r="D21">
        <v>770.6</v>
      </c>
      <c r="E21">
        <v>-0.45</v>
      </c>
      <c r="F21">
        <v>66.099999999999994</v>
      </c>
      <c r="G21">
        <v>3.7</v>
      </c>
      <c r="H21">
        <v>744.12</v>
      </c>
      <c r="I21">
        <v>4.0199999999999996</v>
      </c>
      <c r="J21">
        <v>1.05</v>
      </c>
      <c r="K21">
        <v>0.28000000000000003</v>
      </c>
      <c r="L21" t="s">
        <v>20</v>
      </c>
      <c r="M21">
        <v>762.44</v>
      </c>
      <c r="N21">
        <v>781.79</v>
      </c>
      <c r="O21">
        <v>721.8</v>
      </c>
      <c r="P21">
        <v>812.75</v>
      </c>
      <c r="Q21">
        <v>851.45</v>
      </c>
      <c r="R21">
        <v>70</v>
      </c>
      <c r="S21" t="s">
        <v>21</v>
      </c>
      <c r="V21" s="3" t="e" vm="8">
        <v>#VALUE!</v>
      </c>
      <c r="W21" cm="1">
        <f t="array" aca="1" ref="W21" ca="1">_FV(V21,"price")</f>
        <v>792.3</v>
      </c>
      <c r="X21">
        <f t="shared" ca="1" si="0"/>
        <v>-29.8599999999999</v>
      </c>
      <c r="Y21" s="5">
        <f t="shared" ca="1" si="1"/>
        <v>-3.7687744541209017E-2</v>
      </c>
    </row>
    <row r="22" spans="1:25" x14ac:dyDescent="0.2">
      <c r="A22" t="s">
        <v>50</v>
      </c>
      <c r="B22" s="2">
        <v>46017</v>
      </c>
      <c r="C22">
        <v>266.3</v>
      </c>
      <c r="D22">
        <v>265.7</v>
      </c>
      <c r="E22">
        <v>-0.23</v>
      </c>
      <c r="F22">
        <v>60.23</v>
      </c>
      <c r="G22">
        <v>3.18</v>
      </c>
      <c r="H22">
        <v>250.98</v>
      </c>
      <c r="I22">
        <v>6.1</v>
      </c>
      <c r="J22">
        <v>0.73</v>
      </c>
      <c r="K22">
        <v>0.37</v>
      </c>
      <c r="L22" t="s">
        <v>20</v>
      </c>
      <c r="M22">
        <v>262.31</v>
      </c>
      <c r="N22">
        <v>268.95999999999998</v>
      </c>
      <c r="O22">
        <v>243.45</v>
      </c>
      <c r="P22">
        <v>279.61</v>
      </c>
      <c r="Q22">
        <v>292.93</v>
      </c>
      <c r="R22">
        <v>50</v>
      </c>
      <c r="S22" t="s">
        <v>21</v>
      </c>
      <c r="V22" s="3" t="e" vm="29">
        <v>#VALUE!</v>
      </c>
      <c r="W22" cm="1">
        <f t="array" aca="1" ref="W22" ca="1">_FV(V22,"price")</f>
        <v>266.85000000000002</v>
      </c>
      <c r="X22">
        <f t="shared" ca="1" si="0"/>
        <v>-4.5400000000000205</v>
      </c>
      <c r="Y22" s="5">
        <f t="shared" ca="1" si="1"/>
        <v>-1.7013303353944239E-2</v>
      </c>
    </row>
    <row r="23" spans="1:25" x14ac:dyDescent="0.2">
      <c r="A23" t="s">
        <v>32</v>
      </c>
      <c r="B23" s="2">
        <v>46017</v>
      </c>
      <c r="C23">
        <v>1015.3</v>
      </c>
      <c r="D23">
        <v>1003.05</v>
      </c>
      <c r="E23">
        <v>-1.21</v>
      </c>
      <c r="F23">
        <v>61.81</v>
      </c>
      <c r="G23">
        <v>7.91</v>
      </c>
      <c r="H23">
        <v>987.79</v>
      </c>
      <c r="I23">
        <v>2.78</v>
      </c>
      <c r="J23">
        <v>0.31</v>
      </c>
      <c r="K23">
        <v>0.36</v>
      </c>
      <c r="L23" t="s">
        <v>20</v>
      </c>
      <c r="M23">
        <v>1000.07</v>
      </c>
      <c r="N23">
        <v>1025.45</v>
      </c>
      <c r="O23">
        <v>958.16</v>
      </c>
      <c r="P23">
        <v>1066.06</v>
      </c>
      <c r="Q23">
        <v>1116.83</v>
      </c>
      <c r="R23">
        <v>68</v>
      </c>
      <c r="S23" t="s">
        <v>21</v>
      </c>
      <c r="V23" s="3" t="e" vm="11">
        <v>#VALUE!</v>
      </c>
      <c r="W23" cm="1">
        <f t="array" aca="1" ref="W23" ca="1">_FV(V23,"price")</f>
        <v>1058.3</v>
      </c>
      <c r="X23">
        <f t="shared" ca="1" si="0"/>
        <v>-58.229999999999905</v>
      </c>
      <c r="Y23" s="5">
        <f t="shared" ca="1" si="1"/>
        <v>-5.502220542379279E-2</v>
      </c>
    </row>
    <row r="24" spans="1:25" x14ac:dyDescent="0.2">
      <c r="A24" t="s">
        <v>39</v>
      </c>
      <c r="B24" s="2">
        <v>46017</v>
      </c>
      <c r="C24">
        <v>1206.2</v>
      </c>
      <c r="D24">
        <v>1199.2</v>
      </c>
      <c r="E24">
        <v>-0.57999999999999996</v>
      </c>
      <c r="F24">
        <v>56.28</v>
      </c>
      <c r="G24">
        <v>13.34</v>
      </c>
      <c r="H24">
        <v>1184.68</v>
      </c>
      <c r="I24">
        <v>1.82</v>
      </c>
      <c r="J24">
        <v>0.3</v>
      </c>
      <c r="K24">
        <v>0.37</v>
      </c>
      <c r="L24" t="s">
        <v>20</v>
      </c>
      <c r="M24">
        <v>1188.1099999999999</v>
      </c>
      <c r="N24">
        <v>1218.26</v>
      </c>
      <c r="O24">
        <v>1149.1400000000001</v>
      </c>
      <c r="P24">
        <v>1266.51</v>
      </c>
      <c r="Q24">
        <v>1326.82</v>
      </c>
      <c r="R24">
        <v>66</v>
      </c>
      <c r="S24" t="s">
        <v>21</v>
      </c>
      <c r="V24" s="3" t="e" vm="18">
        <v>#VALUE!</v>
      </c>
      <c r="W24" cm="1">
        <f t="array" aca="1" ref="W24" ca="1">_FV(V24,"price")</f>
        <v>1185.2</v>
      </c>
      <c r="X24">
        <f t="shared" ca="1" si="0"/>
        <v>2.9099999999998545</v>
      </c>
      <c r="Y24" s="5">
        <f t="shared" ca="1" si="1"/>
        <v>2.4552818089772651E-3</v>
      </c>
    </row>
    <row r="25" spans="1:25" x14ac:dyDescent="0.2">
      <c r="A25" t="s">
        <v>51</v>
      </c>
      <c r="B25" s="2">
        <v>46017</v>
      </c>
      <c r="C25">
        <v>288.2</v>
      </c>
      <c r="D25">
        <v>289.3</v>
      </c>
      <c r="E25">
        <v>0.38</v>
      </c>
      <c r="F25">
        <v>64.86</v>
      </c>
      <c r="G25">
        <v>1.4</v>
      </c>
      <c r="H25">
        <v>285.16000000000003</v>
      </c>
      <c r="I25">
        <v>1.06</v>
      </c>
      <c r="J25">
        <v>0.39</v>
      </c>
      <c r="K25">
        <v>0.3</v>
      </c>
      <c r="L25" t="s">
        <v>20</v>
      </c>
      <c r="M25">
        <v>283.88</v>
      </c>
      <c r="N25">
        <v>291.08</v>
      </c>
      <c r="O25">
        <v>276.61</v>
      </c>
      <c r="P25">
        <v>302.61</v>
      </c>
      <c r="Q25">
        <v>317.02</v>
      </c>
      <c r="R25">
        <v>65</v>
      </c>
      <c r="S25" t="s">
        <v>21</v>
      </c>
      <c r="V25" s="3" t="e" vm="30">
        <v>#VALUE!</v>
      </c>
      <c r="W25" cm="1">
        <f t="array" aca="1" ref="W25" ca="1">_FV(V25,"price")</f>
        <v>299.89999999999998</v>
      </c>
      <c r="X25">
        <f t="shared" ca="1" si="0"/>
        <v>-16.019999999999982</v>
      </c>
      <c r="Y25" s="5">
        <f t="shared" ca="1" si="1"/>
        <v>-5.3417805935311716E-2</v>
      </c>
    </row>
    <row r="26" spans="1:25" x14ac:dyDescent="0.2">
      <c r="A26" t="s">
        <v>52</v>
      </c>
      <c r="B26" s="2">
        <v>46017</v>
      </c>
      <c r="C26">
        <v>150.07</v>
      </c>
      <c r="D26">
        <v>150.4</v>
      </c>
      <c r="E26">
        <v>0.22</v>
      </c>
      <c r="F26">
        <v>75.209999999999994</v>
      </c>
      <c r="G26">
        <v>1.38</v>
      </c>
      <c r="H26">
        <v>144.07</v>
      </c>
      <c r="I26">
        <v>4.16</v>
      </c>
      <c r="J26">
        <v>0.51</v>
      </c>
      <c r="K26">
        <v>0.52</v>
      </c>
      <c r="L26" t="s">
        <v>20</v>
      </c>
      <c r="M26">
        <v>147.82</v>
      </c>
      <c r="N26">
        <v>151.57</v>
      </c>
      <c r="O26">
        <v>139.75</v>
      </c>
      <c r="P26">
        <v>157.57</v>
      </c>
      <c r="Q26">
        <v>165.08</v>
      </c>
      <c r="R26">
        <v>53</v>
      </c>
      <c r="S26" t="s">
        <v>21</v>
      </c>
      <c r="V26" s="3" t="e" vm="31">
        <v>#VALUE!</v>
      </c>
      <c r="W26" cm="1">
        <f t="array" aca="1" ref="W26" ca="1">_FV(V26,"price")</f>
        <v>154.03</v>
      </c>
      <c r="X26">
        <f t="shared" ca="1" si="0"/>
        <v>-6.210000000000008</v>
      </c>
      <c r="Y26" s="5">
        <f t="shared" ca="1" si="1"/>
        <v>-4.0316821398428931E-2</v>
      </c>
    </row>
    <row r="27" spans="1:25" x14ac:dyDescent="0.2">
      <c r="A27" t="s">
        <v>22</v>
      </c>
      <c r="B27" s="2">
        <v>46017</v>
      </c>
      <c r="C27">
        <v>1698</v>
      </c>
      <c r="D27">
        <v>1694</v>
      </c>
      <c r="E27">
        <v>-0.24</v>
      </c>
      <c r="F27">
        <v>57.04</v>
      </c>
      <c r="G27">
        <v>0.68</v>
      </c>
      <c r="H27">
        <v>1705.67</v>
      </c>
      <c r="I27">
        <v>-0.45</v>
      </c>
      <c r="J27">
        <v>2.37</v>
      </c>
      <c r="K27">
        <v>0.25</v>
      </c>
      <c r="L27" t="s">
        <v>20</v>
      </c>
      <c r="M27">
        <v>1688.61</v>
      </c>
      <c r="N27">
        <v>1714.98</v>
      </c>
      <c r="O27">
        <v>1630.08</v>
      </c>
      <c r="P27">
        <v>1782.9</v>
      </c>
      <c r="Q27">
        <v>1867.8</v>
      </c>
      <c r="R27">
        <v>78</v>
      </c>
      <c r="S27" t="s">
        <v>21</v>
      </c>
      <c r="V27" s="3" t="e" vm="2">
        <v>#VALUE!</v>
      </c>
      <c r="W27" cm="1">
        <f t="array" aca="1" ref="W27" ca="1">_FV(V27,"price")</f>
        <v>1713</v>
      </c>
      <c r="X27">
        <f t="shared" ca="1" si="0"/>
        <v>-24.3900000000001</v>
      </c>
      <c r="Y27" s="5">
        <f t="shared" ca="1" si="1"/>
        <v>-1.4238178633975539E-2</v>
      </c>
    </row>
    <row r="28" spans="1:25" x14ac:dyDescent="0.2">
      <c r="A28" t="s">
        <v>31</v>
      </c>
      <c r="B28" s="2">
        <v>46017</v>
      </c>
      <c r="C28">
        <v>649.95000000000005</v>
      </c>
      <c r="D28">
        <v>651.45000000000005</v>
      </c>
      <c r="E28">
        <v>0.23</v>
      </c>
      <c r="F28">
        <v>60.02</v>
      </c>
      <c r="G28">
        <v>5.94</v>
      </c>
      <c r="H28">
        <v>624.25</v>
      </c>
      <c r="I28">
        <v>4.12</v>
      </c>
      <c r="J28">
        <v>0.41</v>
      </c>
      <c r="K28">
        <v>0.25</v>
      </c>
      <c r="L28" t="s">
        <v>20</v>
      </c>
      <c r="M28">
        <v>640.20000000000005</v>
      </c>
      <c r="N28">
        <v>656.45</v>
      </c>
      <c r="O28">
        <v>605.52</v>
      </c>
      <c r="P28">
        <v>682.45</v>
      </c>
      <c r="Q28">
        <v>714.95</v>
      </c>
      <c r="R28">
        <v>68</v>
      </c>
      <c r="S28" t="s">
        <v>21</v>
      </c>
      <c r="V28" s="3" t="e" vm="10">
        <v>#VALUE!</v>
      </c>
      <c r="W28" cm="1">
        <f t="array" aca="1" ref="W28" ca="1">_FV(V28,"price")</f>
        <v>671</v>
      </c>
      <c r="X28">
        <f t="shared" ca="1" si="0"/>
        <v>-30.799999999999955</v>
      </c>
      <c r="Y28" s="5">
        <f t="shared" ca="1" si="1"/>
        <v>-4.5901639344262224E-2</v>
      </c>
    </row>
    <row r="29" spans="1:25" x14ac:dyDescent="0.2">
      <c r="A29" t="s">
        <v>53</v>
      </c>
      <c r="B29" s="2">
        <v>46017</v>
      </c>
      <c r="C29">
        <v>160.30000000000001</v>
      </c>
      <c r="D29">
        <v>161.44999999999999</v>
      </c>
      <c r="E29">
        <v>0.72</v>
      </c>
      <c r="F29">
        <v>62.15</v>
      </c>
      <c r="G29">
        <v>0.53</v>
      </c>
      <c r="H29">
        <v>159.69999999999999</v>
      </c>
      <c r="I29">
        <v>0.38</v>
      </c>
      <c r="J29">
        <v>0.61</v>
      </c>
      <c r="K29">
        <v>0.31</v>
      </c>
      <c r="L29" t="s">
        <v>20</v>
      </c>
      <c r="M29">
        <v>158.1</v>
      </c>
      <c r="N29">
        <v>161.9</v>
      </c>
      <c r="O29">
        <v>153.88999999999999</v>
      </c>
      <c r="P29">
        <v>168.32</v>
      </c>
      <c r="Q29">
        <v>176.33</v>
      </c>
      <c r="R29">
        <v>65</v>
      </c>
      <c r="S29" t="s">
        <v>21</v>
      </c>
      <c r="V29" s="3" t="e" vm="32">
        <v>#VALUE!</v>
      </c>
      <c r="W29" cm="1">
        <f t="array" aca="1" ref="W29" ca="1">_FV(V29,"price")</f>
        <v>165.07</v>
      </c>
      <c r="X29">
        <f t="shared" ca="1" si="0"/>
        <v>-6.9699999999999989</v>
      </c>
      <c r="Y29" s="5">
        <f t="shared" ca="1" si="1"/>
        <v>-4.2224510813594227E-2</v>
      </c>
    </row>
    <row r="30" spans="1:25" x14ac:dyDescent="0.2">
      <c r="A30" t="s">
        <v>33</v>
      </c>
      <c r="B30" s="2">
        <v>46017</v>
      </c>
      <c r="C30">
        <v>4518.3</v>
      </c>
      <c r="D30">
        <v>4487.8</v>
      </c>
      <c r="E30">
        <v>-0.68</v>
      </c>
      <c r="F30">
        <v>56.14</v>
      </c>
      <c r="G30">
        <v>60.42</v>
      </c>
      <c r="H30">
        <v>4341.09</v>
      </c>
      <c r="I30">
        <v>4.08</v>
      </c>
      <c r="J30">
        <v>0.64</v>
      </c>
      <c r="K30">
        <v>0.38</v>
      </c>
      <c r="L30" t="s">
        <v>20</v>
      </c>
      <c r="M30">
        <v>4450.53</v>
      </c>
      <c r="N30">
        <v>4563.4799999999996</v>
      </c>
      <c r="O30">
        <v>4210.8599999999997</v>
      </c>
      <c r="P30">
        <v>4744.21</v>
      </c>
      <c r="Q30">
        <v>4970.13</v>
      </c>
      <c r="R30">
        <v>68</v>
      </c>
      <c r="S30" t="s">
        <v>21</v>
      </c>
      <c r="V30" s="3" t="e" vm="12">
        <v>#VALUE!</v>
      </c>
      <c r="W30" cm="1">
        <f t="array" aca="1" ref="W30" ca="1">_FV(V30,"price")</f>
        <v>4399.2</v>
      </c>
      <c r="X30">
        <f t="shared" ca="1" si="0"/>
        <v>51.329999999999927</v>
      </c>
      <c r="Y30" s="5">
        <f t="shared" ca="1" si="1"/>
        <v>1.1668030551009258E-2</v>
      </c>
    </row>
    <row r="31" spans="1:25" x14ac:dyDescent="0.2">
      <c r="A31" t="s">
        <v>54</v>
      </c>
      <c r="B31" s="2">
        <v>46017</v>
      </c>
      <c r="C31">
        <v>2112.4</v>
      </c>
      <c r="D31">
        <v>2094.9</v>
      </c>
      <c r="E31">
        <v>-0.83</v>
      </c>
      <c r="F31">
        <v>59.57</v>
      </c>
      <c r="G31">
        <v>18.25</v>
      </c>
      <c r="H31">
        <v>2048.4299999999998</v>
      </c>
      <c r="I31">
        <v>3.12</v>
      </c>
      <c r="J31">
        <v>0.51</v>
      </c>
      <c r="K31">
        <v>0.61</v>
      </c>
      <c r="L31" t="s">
        <v>20</v>
      </c>
      <c r="M31">
        <v>2080.71</v>
      </c>
      <c r="N31">
        <v>2133.52</v>
      </c>
      <c r="O31">
        <v>1986.98</v>
      </c>
      <c r="P31">
        <v>2218.02</v>
      </c>
      <c r="Q31">
        <v>2323.64</v>
      </c>
      <c r="R31">
        <v>61</v>
      </c>
      <c r="S31" t="s">
        <v>21</v>
      </c>
      <c r="V31" s="3" t="e" vm="33">
        <v>#VALUE!</v>
      </c>
      <c r="W31" cm="1">
        <f t="array" aca="1" ref="W31" ca="1">_FV(V31,"price")</f>
        <v>2100.8000000000002</v>
      </c>
      <c r="X31">
        <f t="shared" ca="1" si="0"/>
        <v>-20.090000000000146</v>
      </c>
      <c r="Y31" s="5">
        <f t="shared" ca="1" si="1"/>
        <v>-9.5630236100533814E-3</v>
      </c>
    </row>
    <row r="32" spans="1:25" x14ac:dyDescent="0.2">
      <c r="A32" t="s">
        <v>35</v>
      </c>
      <c r="B32" s="2">
        <v>46017</v>
      </c>
      <c r="C32">
        <v>3797</v>
      </c>
      <c r="D32">
        <v>3753.6</v>
      </c>
      <c r="E32">
        <v>-1.1399999999999999</v>
      </c>
      <c r="F32">
        <v>75.63</v>
      </c>
      <c r="G32">
        <v>36.369999999999997</v>
      </c>
      <c r="H32">
        <v>3589.35</v>
      </c>
      <c r="I32">
        <v>5.79</v>
      </c>
      <c r="J32">
        <v>0.49</v>
      </c>
      <c r="K32">
        <v>0.35</v>
      </c>
      <c r="L32" t="s">
        <v>20</v>
      </c>
      <c r="M32">
        <v>3740.04</v>
      </c>
      <c r="N32">
        <v>3834.97</v>
      </c>
      <c r="O32">
        <v>3481.67</v>
      </c>
      <c r="P32">
        <v>3986.85</v>
      </c>
      <c r="Q32">
        <v>4176.7</v>
      </c>
      <c r="R32">
        <v>68</v>
      </c>
      <c r="S32" t="s">
        <v>21</v>
      </c>
      <c r="V32" s="3" t="e" vm="14">
        <v>#VALUE!</v>
      </c>
      <c r="W32" cm="1">
        <f t="array" aca="1" ref="W32" ca="1">_FV(V32,"price")</f>
        <v>3824</v>
      </c>
      <c r="X32">
        <f t="shared" ca="1" si="0"/>
        <v>-83.960000000000036</v>
      </c>
      <c r="Y32" s="5">
        <f t="shared" ca="1" si="1"/>
        <v>-2.1956066945606704E-2</v>
      </c>
    </row>
    <row r="33" spans="1:25" x14ac:dyDescent="0.2">
      <c r="A33" t="s">
        <v>29</v>
      </c>
      <c r="B33" s="2">
        <v>46017</v>
      </c>
      <c r="C33">
        <v>82.61</v>
      </c>
      <c r="D33">
        <v>81.58</v>
      </c>
      <c r="E33">
        <v>-1.25</v>
      </c>
      <c r="F33">
        <v>65.790000000000006</v>
      </c>
      <c r="G33">
        <v>0.32</v>
      </c>
      <c r="H33">
        <v>76.150000000000006</v>
      </c>
      <c r="I33">
        <v>8.48</v>
      </c>
      <c r="J33">
        <v>1.62</v>
      </c>
      <c r="K33">
        <v>1.27</v>
      </c>
      <c r="L33" t="s">
        <v>30</v>
      </c>
      <c r="M33">
        <v>81.37</v>
      </c>
      <c r="N33">
        <v>83.44</v>
      </c>
      <c r="O33">
        <v>73.87</v>
      </c>
      <c r="P33">
        <v>86.74</v>
      </c>
      <c r="Q33">
        <v>90.87</v>
      </c>
      <c r="R33">
        <v>70</v>
      </c>
      <c r="S33" t="s">
        <v>21</v>
      </c>
      <c r="V33" s="3" t="e" vm="9">
        <v>#VALUE!</v>
      </c>
      <c r="W33" cm="1">
        <f t="array" aca="1" ref="W33" ca="1">_FV(V33,"price")</f>
        <v>83</v>
      </c>
      <c r="X33">
        <f t="shared" ca="1" si="0"/>
        <v>-1.6299999999999955</v>
      </c>
      <c r="Y33" s="5">
        <f t="shared" ca="1" si="1"/>
        <v>-1.9638554216867415E-2</v>
      </c>
    </row>
    <row r="34" spans="1:25" x14ac:dyDescent="0.2">
      <c r="A34" t="s">
        <v>55</v>
      </c>
      <c r="B34" s="2">
        <v>46017</v>
      </c>
      <c r="C34">
        <v>3101.6</v>
      </c>
      <c r="D34">
        <v>3083.5</v>
      </c>
      <c r="E34">
        <v>-0.57999999999999996</v>
      </c>
      <c r="F34">
        <v>57.66</v>
      </c>
      <c r="G34">
        <v>10.62</v>
      </c>
      <c r="H34">
        <v>2961.5</v>
      </c>
      <c r="I34">
        <v>4.7300000000000004</v>
      </c>
      <c r="J34">
        <v>0.66</v>
      </c>
      <c r="K34">
        <v>0.22</v>
      </c>
      <c r="L34" t="s">
        <v>20</v>
      </c>
      <c r="M34">
        <v>3055.08</v>
      </c>
      <c r="N34">
        <v>3132.62</v>
      </c>
      <c r="O34">
        <v>2872.66</v>
      </c>
      <c r="P34">
        <v>3256.68</v>
      </c>
      <c r="Q34">
        <v>3411.76</v>
      </c>
      <c r="R34">
        <v>61</v>
      </c>
      <c r="S34" t="s">
        <v>21</v>
      </c>
      <c r="V34" s="3" t="e" vm="34">
        <v>#VALUE!</v>
      </c>
      <c r="W34" cm="1">
        <f t="array" aca="1" ref="W34" ca="1">_FV(V34,"price")</f>
        <v>3062.9</v>
      </c>
      <c r="X34">
        <f t="shared" ca="1" si="0"/>
        <v>-7.8200000000001637</v>
      </c>
      <c r="Y34" s="5">
        <f t="shared" ca="1" si="1"/>
        <v>-2.5531359169415143E-3</v>
      </c>
    </row>
    <row r="35" spans="1:25" x14ac:dyDescent="0.2">
      <c r="A35" t="s">
        <v>37</v>
      </c>
      <c r="B35" s="2">
        <v>46017</v>
      </c>
      <c r="C35">
        <v>3816.6</v>
      </c>
      <c r="D35">
        <v>3792.2</v>
      </c>
      <c r="E35">
        <v>-0.64</v>
      </c>
      <c r="F35">
        <v>64.09</v>
      </c>
      <c r="G35">
        <v>9.15</v>
      </c>
      <c r="H35">
        <v>3715.47</v>
      </c>
      <c r="I35">
        <v>2.72</v>
      </c>
      <c r="J35">
        <v>0.6</v>
      </c>
      <c r="K35">
        <v>0.13</v>
      </c>
      <c r="L35" t="s">
        <v>20</v>
      </c>
      <c r="M35">
        <v>3759.35</v>
      </c>
      <c r="N35">
        <v>3854.77</v>
      </c>
      <c r="O35">
        <v>3604.01</v>
      </c>
      <c r="P35">
        <v>4007.43</v>
      </c>
      <c r="Q35">
        <v>4198.26</v>
      </c>
      <c r="R35">
        <v>68</v>
      </c>
      <c r="S35" t="s">
        <v>21</v>
      </c>
      <c r="V35" s="3" t="e" vm="16">
        <v>#VALUE!</v>
      </c>
      <c r="W35" cm="1">
        <f t="array" aca="1" ref="W35" ca="1">_FV(V35,"price")</f>
        <v>3840.1</v>
      </c>
      <c r="X35">
        <f t="shared" ca="1" si="0"/>
        <v>-80.75</v>
      </c>
      <c r="Y35" s="5">
        <f t="shared" ca="1" si="1"/>
        <v>-2.1028098226608682E-2</v>
      </c>
    </row>
    <row r="36" spans="1:25" x14ac:dyDescent="0.2">
      <c r="A36" t="s">
        <v>56</v>
      </c>
      <c r="B36" s="2">
        <v>46017</v>
      </c>
      <c r="C36">
        <v>600.95000000000005</v>
      </c>
      <c r="D36">
        <v>599.9</v>
      </c>
      <c r="E36">
        <v>-0.17</v>
      </c>
      <c r="F36">
        <v>76.47</v>
      </c>
      <c r="G36">
        <v>10.27</v>
      </c>
      <c r="H36">
        <v>530.26</v>
      </c>
      <c r="I36">
        <v>13.33</v>
      </c>
      <c r="J36">
        <v>1.01</v>
      </c>
      <c r="K36">
        <v>0.9</v>
      </c>
      <c r="L36" t="s">
        <v>20</v>
      </c>
      <c r="M36">
        <v>591.94000000000005</v>
      </c>
      <c r="N36">
        <v>606.96</v>
      </c>
      <c r="O36">
        <v>514.35</v>
      </c>
      <c r="P36">
        <v>631</v>
      </c>
      <c r="Q36">
        <v>661.05</v>
      </c>
      <c r="R36">
        <v>61</v>
      </c>
      <c r="S36" t="s">
        <v>21</v>
      </c>
      <c r="V36" s="3" t="e" vm="35">
        <v>#VALUE!</v>
      </c>
      <c r="W36" cm="1">
        <f t="array" aca="1" ref="W36" ca="1">_FV(V36,"price")</f>
        <v>599.95000000000005</v>
      </c>
      <c r="X36">
        <f t="shared" ca="1" si="0"/>
        <v>-8.0099999999999909</v>
      </c>
      <c r="Y36" s="5">
        <f t="shared" ca="1" si="1"/>
        <v>-1.3351112592716043E-2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3"/>
  <sheetViews>
    <sheetView workbookViewId="0"/>
  </sheetViews>
  <sheetFormatPr baseColWidth="10" defaultColWidth="8.83203125" defaultRowHeight="15" x14ac:dyDescent="0.2"/>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57</v>
      </c>
      <c r="B2" s="2">
        <v>46017</v>
      </c>
      <c r="C2">
        <v>6032.5</v>
      </c>
      <c r="D2">
        <v>6045</v>
      </c>
      <c r="E2">
        <v>0.21</v>
      </c>
      <c r="F2">
        <v>55.97</v>
      </c>
      <c r="G2">
        <v>-16.149999999999999</v>
      </c>
      <c r="H2">
        <v>5952.15</v>
      </c>
      <c r="I2">
        <v>1.35</v>
      </c>
      <c r="J2">
        <v>0.36</v>
      </c>
      <c r="K2">
        <v>0.24</v>
      </c>
      <c r="L2" t="s">
        <v>20</v>
      </c>
      <c r="M2">
        <v>5942.01</v>
      </c>
      <c r="N2">
        <v>6092.82</v>
      </c>
      <c r="O2">
        <v>5773.59</v>
      </c>
      <c r="P2">
        <v>6334.12</v>
      </c>
      <c r="Q2">
        <v>6635.75</v>
      </c>
      <c r="R2">
        <v>43</v>
      </c>
      <c r="S2" t="s">
        <v>58</v>
      </c>
    </row>
    <row r="3" spans="1:19" x14ac:dyDescent="0.2">
      <c r="A3" t="s">
        <v>59</v>
      </c>
      <c r="B3" s="2">
        <v>46017</v>
      </c>
      <c r="C3">
        <v>7324</v>
      </c>
      <c r="D3">
        <v>7276</v>
      </c>
      <c r="E3">
        <v>-0.66</v>
      </c>
      <c r="F3">
        <v>70.14</v>
      </c>
      <c r="G3">
        <v>-7.29</v>
      </c>
      <c r="H3">
        <v>7059.4</v>
      </c>
      <c r="I3">
        <v>3.75</v>
      </c>
      <c r="J3">
        <v>0.35</v>
      </c>
      <c r="K3">
        <v>0.3</v>
      </c>
      <c r="L3" t="s">
        <v>20</v>
      </c>
      <c r="M3">
        <v>7214.14</v>
      </c>
      <c r="N3">
        <v>7397.24</v>
      </c>
      <c r="O3">
        <v>6847.62</v>
      </c>
      <c r="P3">
        <v>7690.2</v>
      </c>
      <c r="Q3">
        <v>8056.4</v>
      </c>
      <c r="R3">
        <v>38</v>
      </c>
      <c r="S3" t="s">
        <v>58</v>
      </c>
    </row>
    <row r="4" spans="1:19" x14ac:dyDescent="0.2">
      <c r="A4" t="s">
        <v>60</v>
      </c>
      <c r="B4" s="2">
        <v>46017</v>
      </c>
      <c r="C4">
        <v>2817.7</v>
      </c>
      <c r="D4">
        <v>2841.7</v>
      </c>
      <c r="E4">
        <v>0.85</v>
      </c>
      <c r="F4">
        <v>54.26</v>
      </c>
      <c r="G4">
        <v>-5.82</v>
      </c>
      <c r="H4">
        <v>2792.91</v>
      </c>
      <c r="I4">
        <v>0.89</v>
      </c>
      <c r="J4">
        <v>0.84</v>
      </c>
      <c r="K4">
        <v>0.43</v>
      </c>
      <c r="L4" t="s">
        <v>20</v>
      </c>
      <c r="M4">
        <v>2775.43</v>
      </c>
      <c r="N4">
        <v>2845.88</v>
      </c>
      <c r="O4">
        <v>2704.99</v>
      </c>
      <c r="P4">
        <v>2958.58</v>
      </c>
      <c r="Q4">
        <v>3099.47</v>
      </c>
      <c r="R4">
        <v>35</v>
      </c>
      <c r="S4" t="s">
        <v>58</v>
      </c>
    </row>
    <row r="5" spans="1:19" x14ac:dyDescent="0.2">
      <c r="A5" t="s">
        <v>61</v>
      </c>
      <c r="B5" s="2">
        <v>46017</v>
      </c>
      <c r="C5">
        <v>404.15</v>
      </c>
      <c r="D5">
        <v>402.55</v>
      </c>
      <c r="E5">
        <v>-0.4</v>
      </c>
      <c r="F5">
        <v>45.9</v>
      </c>
      <c r="G5">
        <v>-0.41</v>
      </c>
      <c r="H5">
        <v>407.17</v>
      </c>
      <c r="I5">
        <v>-0.74</v>
      </c>
      <c r="J5">
        <v>0.44</v>
      </c>
      <c r="K5">
        <v>0.34</v>
      </c>
      <c r="L5" t="s">
        <v>20</v>
      </c>
      <c r="M5">
        <v>403.1</v>
      </c>
      <c r="N5">
        <v>408.19</v>
      </c>
      <c r="O5">
        <v>387.98</v>
      </c>
      <c r="P5">
        <v>424.36</v>
      </c>
      <c r="Q5">
        <v>444.56</v>
      </c>
      <c r="R5">
        <v>35</v>
      </c>
      <c r="S5" t="s">
        <v>58</v>
      </c>
    </row>
    <row r="6" spans="1:19" x14ac:dyDescent="0.2">
      <c r="A6" t="s">
        <v>62</v>
      </c>
      <c r="B6" s="2">
        <v>46017</v>
      </c>
      <c r="C6">
        <v>3280</v>
      </c>
      <c r="D6">
        <v>3256.7</v>
      </c>
      <c r="E6">
        <v>-0.71</v>
      </c>
      <c r="F6">
        <v>55.82</v>
      </c>
      <c r="G6">
        <v>50.51</v>
      </c>
      <c r="H6">
        <v>3152.78</v>
      </c>
      <c r="I6">
        <v>4.04</v>
      </c>
      <c r="J6">
        <v>0.56999999999999995</v>
      </c>
      <c r="K6">
        <v>0.41</v>
      </c>
      <c r="L6" t="s">
        <v>20</v>
      </c>
      <c r="M6">
        <v>3230.8</v>
      </c>
      <c r="N6">
        <v>3312.8</v>
      </c>
      <c r="O6">
        <v>3058.2</v>
      </c>
      <c r="P6">
        <v>3444</v>
      </c>
      <c r="Q6">
        <v>3608</v>
      </c>
      <c r="R6">
        <v>63</v>
      </c>
      <c r="S6" t="s">
        <v>58</v>
      </c>
    </row>
    <row r="7" spans="1:19" x14ac:dyDescent="0.2">
      <c r="A7" t="s">
        <v>63</v>
      </c>
      <c r="B7" s="2">
        <v>46017</v>
      </c>
      <c r="C7">
        <v>11794</v>
      </c>
      <c r="D7">
        <v>11781</v>
      </c>
      <c r="E7">
        <v>-0.11</v>
      </c>
      <c r="F7">
        <v>48.21</v>
      </c>
      <c r="G7">
        <v>-79.959999999999994</v>
      </c>
      <c r="H7">
        <v>11752.7</v>
      </c>
      <c r="I7">
        <v>0.35</v>
      </c>
      <c r="J7">
        <v>0.66</v>
      </c>
      <c r="K7">
        <v>0.56999999999999995</v>
      </c>
      <c r="L7" t="s">
        <v>20</v>
      </c>
      <c r="M7">
        <v>11635.17</v>
      </c>
      <c r="N7">
        <v>11911.94</v>
      </c>
      <c r="O7">
        <v>11322.24</v>
      </c>
      <c r="P7">
        <v>12383.7</v>
      </c>
      <c r="Q7">
        <v>12973.4</v>
      </c>
      <c r="R7">
        <v>35</v>
      </c>
      <c r="S7" t="s">
        <v>58</v>
      </c>
    </row>
    <row r="8" spans="1:19" x14ac:dyDescent="0.2">
      <c r="A8" t="s">
        <v>64</v>
      </c>
      <c r="B8" s="2">
        <v>46017</v>
      </c>
      <c r="C8">
        <v>35855</v>
      </c>
      <c r="D8">
        <v>35805</v>
      </c>
      <c r="E8">
        <v>-0.14000000000000001</v>
      </c>
      <c r="F8">
        <v>46.64</v>
      </c>
      <c r="G8">
        <v>-556.16</v>
      </c>
      <c r="H8">
        <v>36763.5</v>
      </c>
      <c r="I8">
        <v>-2.4700000000000002</v>
      </c>
      <c r="J8">
        <v>0.55000000000000004</v>
      </c>
      <c r="K8">
        <v>0.56000000000000005</v>
      </c>
      <c r="L8" t="s">
        <v>20</v>
      </c>
      <c r="M8">
        <v>36395.86</v>
      </c>
      <c r="N8">
        <v>36213.550000000003</v>
      </c>
      <c r="O8">
        <v>34420.800000000003</v>
      </c>
      <c r="P8">
        <v>37647.75</v>
      </c>
      <c r="Q8">
        <v>39440.5</v>
      </c>
      <c r="R8">
        <v>15</v>
      </c>
      <c r="S8" t="s">
        <v>58</v>
      </c>
    </row>
    <row r="9" spans="1:19" x14ac:dyDescent="0.2">
      <c r="A9" t="s">
        <v>65</v>
      </c>
      <c r="B9" s="2">
        <v>46017</v>
      </c>
      <c r="C9">
        <v>1206.2</v>
      </c>
      <c r="D9">
        <v>1204.7</v>
      </c>
      <c r="E9">
        <v>-0.12</v>
      </c>
      <c r="F9">
        <v>55.92</v>
      </c>
      <c r="G9">
        <v>5.32</v>
      </c>
      <c r="H9">
        <v>1146.05</v>
      </c>
      <c r="I9">
        <v>5.25</v>
      </c>
      <c r="J9">
        <v>0.28999999999999998</v>
      </c>
      <c r="K9">
        <v>0.78</v>
      </c>
      <c r="L9" t="s">
        <v>20</v>
      </c>
      <c r="M9">
        <v>1188.1099999999999</v>
      </c>
      <c r="N9">
        <v>1218.26</v>
      </c>
      <c r="O9">
        <v>1111.67</v>
      </c>
      <c r="P9">
        <v>1266.51</v>
      </c>
      <c r="Q9">
        <v>1326.82</v>
      </c>
      <c r="R9">
        <v>56</v>
      </c>
      <c r="S9" t="s">
        <v>58</v>
      </c>
    </row>
    <row r="10" spans="1:19" x14ac:dyDescent="0.2">
      <c r="A10" t="s">
        <v>66</v>
      </c>
      <c r="B10" s="2">
        <v>46017</v>
      </c>
      <c r="C10">
        <v>705.5</v>
      </c>
      <c r="D10">
        <v>699.1</v>
      </c>
      <c r="E10">
        <v>-0.91</v>
      </c>
      <c r="F10">
        <v>48.33</v>
      </c>
      <c r="G10">
        <v>0.3</v>
      </c>
      <c r="H10">
        <v>692.88</v>
      </c>
      <c r="I10">
        <v>1.82</v>
      </c>
      <c r="J10">
        <v>3</v>
      </c>
      <c r="K10">
        <v>0.95</v>
      </c>
      <c r="L10" t="s">
        <v>20</v>
      </c>
      <c r="M10">
        <v>694.92</v>
      </c>
      <c r="N10">
        <v>712.56</v>
      </c>
      <c r="O10">
        <v>672.09</v>
      </c>
      <c r="P10">
        <v>740.78</v>
      </c>
      <c r="Q10">
        <v>776.05</v>
      </c>
      <c r="R10">
        <v>65</v>
      </c>
      <c r="S10" t="s">
        <v>58</v>
      </c>
    </row>
    <row r="11" spans="1:19" x14ac:dyDescent="0.2">
      <c r="A11" t="s">
        <v>67</v>
      </c>
      <c r="B11" s="2">
        <v>46017</v>
      </c>
      <c r="C11">
        <v>743.3</v>
      </c>
      <c r="D11">
        <v>751.05</v>
      </c>
      <c r="E11">
        <v>1.04</v>
      </c>
      <c r="F11">
        <v>57.72</v>
      </c>
      <c r="G11">
        <v>-7.0000000000000007E-2</v>
      </c>
      <c r="H11">
        <v>730.16</v>
      </c>
      <c r="I11">
        <v>1.8</v>
      </c>
      <c r="J11">
        <v>0.6</v>
      </c>
      <c r="K11">
        <v>0.61</v>
      </c>
      <c r="L11" t="s">
        <v>20</v>
      </c>
      <c r="M11">
        <v>732.15</v>
      </c>
      <c r="N11">
        <v>750.73</v>
      </c>
      <c r="O11">
        <v>708.26</v>
      </c>
      <c r="P11">
        <v>780.46</v>
      </c>
      <c r="Q11">
        <v>817.63</v>
      </c>
      <c r="R11">
        <v>43</v>
      </c>
      <c r="S11" t="s">
        <v>58</v>
      </c>
    </row>
    <row r="12" spans="1:19" x14ac:dyDescent="0.2">
      <c r="A12" t="s">
        <v>68</v>
      </c>
      <c r="B12" s="2">
        <v>46017</v>
      </c>
      <c r="C12">
        <v>1365.8</v>
      </c>
      <c r="D12">
        <v>1356.5</v>
      </c>
      <c r="E12">
        <v>-0.68</v>
      </c>
      <c r="F12">
        <v>49.47</v>
      </c>
      <c r="G12">
        <v>5.8</v>
      </c>
      <c r="H12">
        <v>1355.91</v>
      </c>
      <c r="I12">
        <v>0.73</v>
      </c>
      <c r="J12">
        <v>0.34</v>
      </c>
      <c r="K12">
        <v>0.3</v>
      </c>
      <c r="L12" t="s">
        <v>20</v>
      </c>
      <c r="M12">
        <v>1345.31</v>
      </c>
      <c r="N12">
        <v>1379.46</v>
      </c>
      <c r="O12">
        <v>1311.17</v>
      </c>
      <c r="P12">
        <v>1434.09</v>
      </c>
      <c r="Q12">
        <v>1502.38</v>
      </c>
      <c r="R12">
        <v>53</v>
      </c>
      <c r="S12" t="s">
        <v>58</v>
      </c>
    </row>
    <row r="13" spans="1:19" x14ac:dyDescent="0.2">
      <c r="A13" t="s">
        <v>69</v>
      </c>
      <c r="B13" s="2">
        <v>46017</v>
      </c>
      <c r="C13">
        <v>1381.1</v>
      </c>
      <c r="D13">
        <v>1388.5</v>
      </c>
      <c r="E13">
        <v>0.54</v>
      </c>
      <c r="F13">
        <v>51.29</v>
      </c>
      <c r="G13">
        <v>-0.28999999999999998</v>
      </c>
      <c r="H13">
        <v>1373.03</v>
      </c>
      <c r="I13">
        <v>0.59</v>
      </c>
      <c r="J13">
        <v>0.24</v>
      </c>
      <c r="K13">
        <v>0.42</v>
      </c>
      <c r="L13" t="s">
        <v>20</v>
      </c>
      <c r="M13">
        <v>1360.38</v>
      </c>
      <c r="N13">
        <v>1394.91</v>
      </c>
      <c r="O13">
        <v>1325.86</v>
      </c>
      <c r="P13">
        <v>1450.15</v>
      </c>
      <c r="Q13">
        <v>1519.21</v>
      </c>
      <c r="R13">
        <v>35</v>
      </c>
      <c r="S13" t="s">
        <v>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4"/>
  <sheetViews>
    <sheetView workbookViewId="0">
      <selection activeCell="A23" sqref="A23"/>
    </sheetView>
  </sheetViews>
  <sheetFormatPr baseColWidth="10" defaultColWidth="8.83203125" defaultRowHeight="15" x14ac:dyDescent="0.2"/>
  <cols>
    <col min="2" max="2" width="22.5"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70</v>
      </c>
      <c r="B2" s="2">
        <v>46017</v>
      </c>
      <c r="C2">
        <v>2229.9</v>
      </c>
      <c r="D2">
        <v>2216.5</v>
      </c>
      <c r="E2">
        <v>-0.6</v>
      </c>
      <c r="F2">
        <v>39.47</v>
      </c>
      <c r="G2">
        <v>-25.47</v>
      </c>
      <c r="H2">
        <v>2351.38</v>
      </c>
      <c r="I2">
        <v>-5.17</v>
      </c>
      <c r="J2">
        <v>0.4</v>
      </c>
      <c r="K2">
        <v>0.54</v>
      </c>
      <c r="L2" t="s">
        <v>20</v>
      </c>
      <c r="M2">
        <v>2327.87</v>
      </c>
      <c r="N2">
        <v>2252.1999999999998</v>
      </c>
      <c r="O2">
        <v>2140.6999999999998</v>
      </c>
      <c r="P2">
        <v>2341.39</v>
      </c>
      <c r="Q2">
        <v>2452.89</v>
      </c>
      <c r="R2">
        <v>0</v>
      </c>
      <c r="S2" t="s">
        <v>71</v>
      </c>
    </row>
    <row r="3" spans="1:19" x14ac:dyDescent="0.2">
      <c r="A3" t="s">
        <v>72</v>
      </c>
      <c r="B3" s="2">
        <v>46017</v>
      </c>
      <c r="C3">
        <v>7156</v>
      </c>
      <c r="D3">
        <v>7108</v>
      </c>
      <c r="E3">
        <v>-0.67</v>
      </c>
      <c r="F3">
        <v>44.79</v>
      </c>
      <c r="G3">
        <v>-96.4</v>
      </c>
      <c r="H3">
        <v>7376.65</v>
      </c>
      <c r="I3">
        <v>-2.99</v>
      </c>
      <c r="J3">
        <v>0.73</v>
      </c>
      <c r="K3">
        <v>0.49</v>
      </c>
      <c r="L3" t="s">
        <v>20</v>
      </c>
      <c r="M3">
        <v>7302.88</v>
      </c>
      <c r="N3">
        <v>7227.56</v>
      </c>
      <c r="O3">
        <v>6869.76</v>
      </c>
      <c r="P3">
        <v>7513.8</v>
      </c>
      <c r="Q3">
        <v>7871.6</v>
      </c>
      <c r="R3">
        <v>0</v>
      </c>
      <c r="S3" t="s">
        <v>71</v>
      </c>
    </row>
    <row r="4" spans="1:19" x14ac:dyDescent="0.2">
      <c r="A4" t="s">
        <v>73</v>
      </c>
      <c r="B4" s="2">
        <v>46017</v>
      </c>
      <c r="C4">
        <v>1000</v>
      </c>
      <c r="D4">
        <v>993.6</v>
      </c>
      <c r="E4">
        <v>-0.64</v>
      </c>
      <c r="F4">
        <v>53.07</v>
      </c>
      <c r="G4">
        <v>-7.63</v>
      </c>
      <c r="H4">
        <v>1033.28</v>
      </c>
      <c r="I4">
        <v>-3.22</v>
      </c>
      <c r="J4">
        <v>0.59</v>
      </c>
      <c r="K4">
        <v>0.59</v>
      </c>
      <c r="L4" t="s">
        <v>20</v>
      </c>
      <c r="M4">
        <v>1022.95</v>
      </c>
      <c r="N4">
        <v>1010</v>
      </c>
      <c r="O4">
        <v>960</v>
      </c>
      <c r="P4">
        <v>1050</v>
      </c>
      <c r="Q4">
        <v>1100</v>
      </c>
      <c r="R4">
        <v>10</v>
      </c>
      <c r="S4" t="s">
        <v>71</v>
      </c>
    </row>
    <row r="5" spans="1:19" x14ac:dyDescent="0.2">
      <c r="A5" t="s">
        <v>74</v>
      </c>
      <c r="B5" s="2">
        <v>46017</v>
      </c>
      <c r="C5">
        <v>2017.6</v>
      </c>
      <c r="D5">
        <v>2006.6</v>
      </c>
      <c r="E5">
        <v>-0.55000000000000004</v>
      </c>
      <c r="F5">
        <v>48.94</v>
      </c>
      <c r="G5">
        <v>-8.8000000000000007</v>
      </c>
      <c r="H5">
        <v>2080.31</v>
      </c>
      <c r="I5">
        <v>-3.01</v>
      </c>
      <c r="J5">
        <v>1</v>
      </c>
      <c r="K5">
        <v>1.1100000000000001</v>
      </c>
      <c r="L5" t="s">
        <v>20</v>
      </c>
      <c r="M5">
        <v>2059.5100000000002</v>
      </c>
      <c r="N5">
        <v>2037.78</v>
      </c>
      <c r="O5">
        <v>1936.9</v>
      </c>
      <c r="P5">
        <v>2118.48</v>
      </c>
      <c r="Q5">
        <v>2219.36</v>
      </c>
      <c r="R5">
        <v>20</v>
      </c>
      <c r="S5" t="s">
        <v>71</v>
      </c>
    </row>
    <row r="6" spans="1:19" x14ac:dyDescent="0.2">
      <c r="A6" t="s">
        <v>75</v>
      </c>
      <c r="B6" s="2">
        <v>46017</v>
      </c>
      <c r="C6">
        <v>1506</v>
      </c>
      <c r="D6">
        <v>1498.7</v>
      </c>
      <c r="E6">
        <v>-0.48</v>
      </c>
      <c r="F6">
        <v>47.32</v>
      </c>
      <c r="G6">
        <v>-6.09</v>
      </c>
      <c r="H6">
        <v>1522.79</v>
      </c>
      <c r="I6">
        <v>-1.1000000000000001</v>
      </c>
      <c r="J6">
        <v>0.6</v>
      </c>
      <c r="K6">
        <v>0.56999999999999995</v>
      </c>
      <c r="L6" t="s">
        <v>20</v>
      </c>
      <c r="M6">
        <v>1507.56</v>
      </c>
      <c r="N6">
        <v>1521.06</v>
      </c>
      <c r="O6">
        <v>1445.76</v>
      </c>
      <c r="P6">
        <v>1581.3</v>
      </c>
      <c r="Q6">
        <v>1656.6</v>
      </c>
      <c r="R6">
        <v>30</v>
      </c>
      <c r="S6" t="s">
        <v>71</v>
      </c>
    </row>
    <row r="7" spans="1:19" x14ac:dyDescent="0.2">
      <c r="A7" t="s">
        <v>76</v>
      </c>
      <c r="B7" s="2">
        <v>46017</v>
      </c>
      <c r="C7">
        <v>6427.5</v>
      </c>
      <c r="D7">
        <v>6399</v>
      </c>
      <c r="E7">
        <v>-0.44</v>
      </c>
      <c r="F7">
        <v>52.44</v>
      </c>
      <c r="G7">
        <v>-8.67</v>
      </c>
      <c r="H7">
        <v>6515.5</v>
      </c>
      <c r="I7">
        <v>-1.35</v>
      </c>
      <c r="J7">
        <v>0.53</v>
      </c>
      <c r="K7">
        <v>0.35</v>
      </c>
      <c r="L7" t="s">
        <v>20</v>
      </c>
      <c r="M7">
        <v>6450.34</v>
      </c>
      <c r="N7">
        <v>6491.78</v>
      </c>
      <c r="O7">
        <v>6170.4</v>
      </c>
      <c r="P7">
        <v>6748.88</v>
      </c>
      <c r="Q7">
        <v>7070.25</v>
      </c>
      <c r="R7">
        <v>30</v>
      </c>
      <c r="S7" t="s">
        <v>71</v>
      </c>
    </row>
    <row r="8" spans="1:19" x14ac:dyDescent="0.2">
      <c r="A8" t="s">
        <v>77</v>
      </c>
      <c r="B8" s="2">
        <v>46017</v>
      </c>
      <c r="C8">
        <v>1269.3</v>
      </c>
      <c r="D8">
        <v>1265.9000000000001</v>
      </c>
      <c r="E8">
        <v>-0.27</v>
      </c>
      <c r="F8">
        <v>52.25</v>
      </c>
      <c r="G8">
        <v>1.31</v>
      </c>
      <c r="H8">
        <v>1253.73</v>
      </c>
      <c r="I8">
        <v>1.24</v>
      </c>
      <c r="J8">
        <v>0.37</v>
      </c>
      <c r="K8">
        <v>0.27</v>
      </c>
      <c r="L8" t="s">
        <v>20</v>
      </c>
      <c r="M8">
        <v>1250.26</v>
      </c>
      <c r="N8">
        <v>1281.99</v>
      </c>
      <c r="O8">
        <v>1216.1199999999999</v>
      </c>
      <c r="P8">
        <v>1332.77</v>
      </c>
      <c r="Q8">
        <v>1396.23</v>
      </c>
      <c r="R8">
        <v>40</v>
      </c>
      <c r="S8" t="s">
        <v>71</v>
      </c>
    </row>
    <row r="9" spans="1:19" x14ac:dyDescent="0.2">
      <c r="A9" t="s">
        <v>78</v>
      </c>
      <c r="B9" s="2">
        <v>46017</v>
      </c>
      <c r="C9">
        <v>992.1</v>
      </c>
      <c r="D9">
        <v>988.8</v>
      </c>
      <c r="E9">
        <v>-0.33</v>
      </c>
      <c r="F9">
        <v>55</v>
      </c>
      <c r="G9">
        <v>-2.12</v>
      </c>
      <c r="H9">
        <v>994.2</v>
      </c>
      <c r="I9">
        <v>-0.21</v>
      </c>
      <c r="J9">
        <v>0.63</v>
      </c>
      <c r="K9">
        <v>0.35</v>
      </c>
      <c r="L9" t="s">
        <v>20</v>
      </c>
      <c r="M9">
        <v>984.26</v>
      </c>
      <c r="N9">
        <v>1002.02</v>
      </c>
      <c r="O9">
        <v>952.42</v>
      </c>
      <c r="P9">
        <v>1041.7</v>
      </c>
      <c r="Q9">
        <v>1091.31</v>
      </c>
      <c r="R9">
        <v>38</v>
      </c>
      <c r="S9" t="s">
        <v>71</v>
      </c>
    </row>
    <row r="10" spans="1:19" x14ac:dyDescent="0.2">
      <c r="A10" t="s">
        <v>79</v>
      </c>
      <c r="B10" s="2">
        <v>46017</v>
      </c>
      <c r="C10">
        <v>748.45</v>
      </c>
      <c r="D10">
        <v>747.4</v>
      </c>
      <c r="E10">
        <v>-0.14000000000000001</v>
      </c>
      <c r="F10">
        <v>48.39</v>
      </c>
      <c r="G10">
        <v>-2.25</v>
      </c>
      <c r="H10">
        <v>757.88</v>
      </c>
      <c r="I10">
        <v>-1.24</v>
      </c>
      <c r="J10">
        <v>0.4</v>
      </c>
      <c r="K10">
        <v>1.34</v>
      </c>
      <c r="L10" t="s">
        <v>30</v>
      </c>
      <c r="M10">
        <v>750.3</v>
      </c>
      <c r="N10">
        <v>755.93</v>
      </c>
      <c r="O10">
        <v>718.51</v>
      </c>
      <c r="P10">
        <v>785.87</v>
      </c>
      <c r="Q10">
        <v>823.3</v>
      </c>
      <c r="R10">
        <v>30</v>
      </c>
      <c r="S10" t="s">
        <v>71</v>
      </c>
    </row>
    <row r="11" spans="1:19" x14ac:dyDescent="0.2">
      <c r="A11" t="s">
        <v>80</v>
      </c>
      <c r="B11" s="2">
        <v>46017</v>
      </c>
      <c r="C11">
        <v>5637</v>
      </c>
      <c r="D11">
        <v>5564</v>
      </c>
      <c r="E11">
        <v>-1.3</v>
      </c>
      <c r="F11">
        <v>57.1</v>
      </c>
      <c r="G11">
        <v>-14.3</v>
      </c>
      <c r="H11">
        <v>5782.45</v>
      </c>
      <c r="I11">
        <v>-2.52</v>
      </c>
      <c r="J11">
        <v>0.53</v>
      </c>
      <c r="K11">
        <v>0.43</v>
      </c>
      <c r="L11" t="s">
        <v>20</v>
      </c>
      <c r="M11">
        <v>5724.63</v>
      </c>
      <c r="N11">
        <v>5693.37</v>
      </c>
      <c r="O11">
        <v>5411.52</v>
      </c>
      <c r="P11">
        <v>5918.85</v>
      </c>
      <c r="Q11">
        <v>6200.7</v>
      </c>
      <c r="R11">
        <v>18</v>
      </c>
      <c r="S11" t="s">
        <v>71</v>
      </c>
    </row>
    <row r="12" spans="1:19" x14ac:dyDescent="0.2">
      <c r="A12" t="s">
        <v>81</v>
      </c>
      <c r="B12" s="2">
        <v>46017</v>
      </c>
      <c r="C12">
        <v>2285.4</v>
      </c>
      <c r="D12">
        <v>2290.1</v>
      </c>
      <c r="E12">
        <v>0.21</v>
      </c>
      <c r="F12">
        <v>39.49</v>
      </c>
      <c r="G12">
        <v>-32.54</v>
      </c>
      <c r="H12">
        <v>2384.96</v>
      </c>
      <c r="I12">
        <v>-4.17</v>
      </c>
      <c r="J12">
        <v>0.4</v>
      </c>
      <c r="K12">
        <v>0.61</v>
      </c>
      <c r="L12" t="s">
        <v>20</v>
      </c>
      <c r="M12">
        <v>2361.11</v>
      </c>
      <c r="N12">
        <v>2308.25</v>
      </c>
      <c r="O12">
        <v>2193.98</v>
      </c>
      <c r="P12">
        <v>2399.67</v>
      </c>
      <c r="Q12">
        <v>2513.94</v>
      </c>
      <c r="R12">
        <v>0</v>
      </c>
      <c r="S12" t="s">
        <v>71</v>
      </c>
    </row>
    <row r="13" spans="1:19" x14ac:dyDescent="0.2">
      <c r="A13" t="s">
        <v>82</v>
      </c>
      <c r="B13" s="2">
        <v>46017</v>
      </c>
      <c r="C13">
        <v>1350.4</v>
      </c>
      <c r="D13">
        <v>1343.8</v>
      </c>
      <c r="E13">
        <v>-0.49</v>
      </c>
      <c r="F13">
        <v>44.86</v>
      </c>
      <c r="G13">
        <v>-5.77</v>
      </c>
      <c r="H13">
        <v>1366.03</v>
      </c>
      <c r="I13">
        <v>-1.1399999999999999</v>
      </c>
      <c r="J13">
        <v>0.61</v>
      </c>
      <c r="K13">
        <v>0.3</v>
      </c>
      <c r="L13" t="s">
        <v>20</v>
      </c>
      <c r="M13">
        <v>1352.37</v>
      </c>
      <c r="N13">
        <v>1363.9</v>
      </c>
      <c r="O13">
        <v>1296.3800000000001</v>
      </c>
      <c r="P13">
        <v>1417.92</v>
      </c>
      <c r="Q13">
        <v>1485.44</v>
      </c>
      <c r="R13">
        <v>20</v>
      </c>
      <c r="S13" t="s">
        <v>71</v>
      </c>
    </row>
    <row r="14" spans="1:19" x14ac:dyDescent="0.2">
      <c r="A14" t="s">
        <v>83</v>
      </c>
      <c r="B14" s="2">
        <v>46017</v>
      </c>
      <c r="C14">
        <v>1094.4000000000001</v>
      </c>
      <c r="D14">
        <v>1100.0999999999999</v>
      </c>
      <c r="E14">
        <v>0.52</v>
      </c>
      <c r="F14">
        <v>48.61</v>
      </c>
      <c r="G14">
        <v>-11.55</v>
      </c>
      <c r="H14">
        <v>1144.92</v>
      </c>
      <c r="I14">
        <v>-4.41</v>
      </c>
      <c r="J14">
        <v>0.56999999999999995</v>
      </c>
      <c r="K14">
        <v>1.46</v>
      </c>
      <c r="L14" t="s">
        <v>30</v>
      </c>
      <c r="M14">
        <v>1133.47</v>
      </c>
      <c r="N14">
        <v>1105.3399999999999</v>
      </c>
      <c r="O14">
        <v>1050.6199999999999</v>
      </c>
      <c r="P14">
        <v>1149.1199999999999</v>
      </c>
      <c r="Q14">
        <v>1203.8399999999999</v>
      </c>
      <c r="R14">
        <v>10</v>
      </c>
      <c r="S14" t="s">
        <v>71</v>
      </c>
    </row>
    <row r="15" spans="1:19" x14ac:dyDescent="0.2">
      <c r="A15" t="s">
        <v>84</v>
      </c>
      <c r="B15" s="2">
        <v>46017</v>
      </c>
      <c r="C15">
        <v>3623.1</v>
      </c>
      <c r="D15">
        <v>3632.9</v>
      </c>
      <c r="E15">
        <v>0.27</v>
      </c>
      <c r="F15">
        <v>57.33</v>
      </c>
      <c r="G15">
        <v>-16.79</v>
      </c>
      <c r="H15">
        <v>3663.13</v>
      </c>
      <c r="I15">
        <v>-1.0900000000000001</v>
      </c>
      <c r="J15">
        <v>0.41</v>
      </c>
      <c r="K15">
        <v>0.31</v>
      </c>
      <c r="L15" t="s">
        <v>20</v>
      </c>
      <c r="M15">
        <v>3626.5</v>
      </c>
      <c r="N15">
        <v>3659.33</v>
      </c>
      <c r="O15">
        <v>3478.18</v>
      </c>
      <c r="P15">
        <v>3804.26</v>
      </c>
      <c r="Q15">
        <v>3985.41</v>
      </c>
      <c r="R15">
        <v>38</v>
      </c>
      <c r="S15" t="s">
        <v>71</v>
      </c>
    </row>
    <row r="16" spans="1:19" x14ac:dyDescent="0.2">
      <c r="A16" t="s">
        <v>85</v>
      </c>
      <c r="B16" s="2">
        <v>46017</v>
      </c>
      <c r="C16">
        <v>16596</v>
      </c>
      <c r="D16">
        <v>16591</v>
      </c>
      <c r="E16">
        <v>-0.03</v>
      </c>
      <c r="F16">
        <v>70.349999999999994</v>
      </c>
      <c r="G16">
        <v>-40.99</v>
      </c>
      <c r="H16">
        <v>16131.4</v>
      </c>
      <c r="I16">
        <v>2.88</v>
      </c>
      <c r="J16">
        <v>0.48</v>
      </c>
      <c r="K16">
        <v>0.6</v>
      </c>
      <c r="L16" t="s">
        <v>20</v>
      </c>
      <c r="M16">
        <v>16347.06</v>
      </c>
      <c r="N16">
        <v>16761.96</v>
      </c>
      <c r="O16">
        <v>15647.46</v>
      </c>
      <c r="P16">
        <v>17425.8</v>
      </c>
      <c r="Q16">
        <v>18255.599999999999</v>
      </c>
      <c r="R16">
        <v>33</v>
      </c>
      <c r="S16" t="s">
        <v>71</v>
      </c>
    </row>
    <row r="17" spans="1:19" x14ac:dyDescent="0.2">
      <c r="A17" t="s">
        <v>86</v>
      </c>
      <c r="B17" s="2">
        <v>46017</v>
      </c>
      <c r="C17">
        <v>324.10000000000002</v>
      </c>
      <c r="D17">
        <v>324.55</v>
      </c>
      <c r="E17">
        <v>0.14000000000000001</v>
      </c>
      <c r="F17">
        <v>44.5</v>
      </c>
      <c r="G17">
        <v>-0.88</v>
      </c>
      <c r="H17">
        <v>327.08999999999997</v>
      </c>
      <c r="I17">
        <v>-0.91</v>
      </c>
      <c r="J17">
        <v>0.63</v>
      </c>
      <c r="K17">
        <v>1.34</v>
      </c>
      <c r="L17" t="s">
        <v>30</v>
      </c>
      <c r="M17">
        <v>323.81</v>
      </c>
      <c r="N17">
        <v>327.33999999999997</v>
      </c>
      <c r="O17">
        <v>311.14</v>
      </c>
      <c r="P17">
        <v>340.31</v>
      </c>
      <c r="Q17">
        <v>356.51</v>
      </c>
      <c r="R17">
        <v>20</v>
      </c>
      <c r="S17" t="s">
        <v>71</v>
      </c>
    </row>
    <row r="18" spans="1:19" x14ac:dyDescent="0.2">
      <c r="A18" t="s">
        <v>87</v>
      </c>
      <c r="B18" s="2">
        <v>46017</v>
      </c>
      <c r="C18">
        <v>234.53</v>
      </c>
      <c r="D18">
        <v>235.87</v>
      </c>
      <c r="E18">
        <v>0.56999999999999995</v>
      </c>
      <c r="F18">
        <v>45.69</v>
      </c>
      <c r="G18">
        <v>-0.76</v>
      </c>
      <c r="H18">
        <v>242.88</v>
      </c>
      <c r="I18">
        <v>-3.44</v>
      </c>
      <c r="J18">
        <v>0.47</v>
      </c>
      <c r="K18">
        <v>1.38</v>
      </c>
      <c r="L18" t="s">
        <v>30</v>
      </c>
      <c r="M18">
        <v>240.45</v>
      </c>
      <c r="N18">
        <v>236.88</v>
      </c>
      <c r="O18">
        <v>225.15</v>
      </c>
      <c r="P18">
        <v>246.26</v>
      </c>
      <c r="Q18">
        <v>257.98</v>
      </c>
      <c r="R18">
        <v>10</v>
      </c>
      <c r="S18" t="s">
        <v>71</v>
      </c>
    </row>
    <row r="19" spans="1:19" x14ac:dyDescent="0.2">
      <c r="A19" t="s">
        <v>88</v>
      </c>
      <c r="B19" s="2">
        <v>46017</v>
      </c>
      <c r="C19">
        <v>265.45</v>
      </c>
      <c r="D19">
        <v>260.55</v>
      </c>
      <c r="E19">
        <v>-1.85</v>
      </c>
      <c r="F19">
        <v>39.94</v>
      </c>
      <c r="G19">
        <v>-1.39</v>
      </c>
      <c r="H19">
        <v>271.58</v>
      </c>
      <c r="I19">
        <v>-2.2599999999999998</v>
      </c>
      <c r="J19">
        <v>0.59</v>
      </c>
      <c r="K19">
        <v>0.41</v>
      </c>
      <c r="L19" t="s">
        <v>20</v>
      </c>
      <c r="M19">
        <v>268.86</v>
      </c>
      <c r="N19">
        <v>268.10000000000002</v>
      </c>
      <c r="O19">
        <v>254.83</v>
      </c>
      <c r="P19">
        <v>278.72000000000003</v>
      </c>
      <c r="Q19">
        <v>292</v>
      </c>
      <c r="R19">
        <v>0</v>
      </c>
      <c r="S19" t="s">
        <v>71</v>
      </c>
    </row>
    <row r="20" spans="1:19" x14ac:dyDescent="0.2">
      <c r="A20" t="s">
        <v>89</v>
      </c>
      <c r="B20" s="2">
        <v>46017</v>
      </c>
      <c r="C20">
        <v>1719.5</v>
      </c>
      <c r="D20">
        <v>1723</v>
      </c>
      <c r="E20">
        <v>0.2</v>
      </c>
      <c r="F20">
        <v>51.15</v>
      </c>
      <c r="G20">
        <v>9.08</v>
      </c>
      <c r="H20">
        <v>1751.27</v>
      </c>
      <c r="I20">
        <v>-1.81</v>
      </c>
      <c r="J20">
        <v>0.71</v>
      </c>
      <c r="K20">
        <v>0.36</v>
      </c>
      <c r="L20" t="s">
        <v>20</v>
      </c>
      <c r="M20">
        <v>1733.76</v>
      </c>
      <c r="N20">
        <v>1736.7</v>
      </c>
      <c r="O20">
        <v>1650.72</v>
      </c>
      <c r="P20">
        <v>1805.48</v>
      </c>
      <c r="Q20">
        <v>1891.45</v>
      </c>
      <c r="R20">
        <v>48</v>
      </c>
      <c r="S20" t="s">
        <v>71</v>
      </c>
    </row>
    <row r="21" spans="1:19" x14ac:dyDescent="0.2">
      <c r="A21" t="s">
        <v>90</v>
      </c>
      <c r="B21" s="2">
        <v>46017</v>
      </c>
      <c r="C21">
        <v>169.12</v>
      </c>
      <c r="D21">
        <v>172.64</v>
      </c>
      <c r="E21">
        <v>2.08</v>
      </c>
      <c r="F21">
        <v>53.17</v>
      </c>
      <c r="G21">
        <v>-1.36</v>
      </c>
      <c r="H21">
        <v>172.57</v>
      </c>
      <c r="I21">
        <v>-2</v>
      </c>
      <c r="J21">
        <v>0.67</v>
      </c>
      <c r="K21">
        <v>1.66</v>
      </c>
      <c r="L21" t="s">
        <v>91</v>
      </c>
      <c r="M21">
        <v>170.84</v>
      </c>
      <c r="N21">
        <v>170.81</v>
      </c>
      <c r="O21">
        <v>162.36000000000001</v>
      </c>
      <c r="P21">
        <v>177.58</v>
      </c>
      <c r="Q21">
        <v>186.03</v>
      </c>
      <c r="R21">
        <v>30</v>
      </c>
      <c r="S21" t="s">
        <v>71</v>
      </c>
    </row>
    <row r="22" spans="1:19" x14ac:dyDescent="0.2">
      <c r="A22" t="s">
        <v>92</v>
      </c>
      <c r="B22" s="2">
        <v>46017</v>
      </c>
      <c r="C22">
        <v>5183</v>
      </c>
      <c r="D22">
        <v>5184</v>
      </c>
      <c r="E22">
        <v>0.02</v>
      </c>
      <c r="F22">
        <v>45.46</v>
      </c>
      <c r="G22">
        <v>35.979999999999997</v>
      </c>
      <c r="H22">
        <v>5144.8500000000004</v>
      </c>
      <c r="I22">
        <v>0.74</v>
      </c>
      <c r="J22">
        <v>0.27</v>
      </c>
      <c r="K22">
        <v>0.24</v>
      </c>
      <c r="L22" t="s">
        <v>20</v>
      </c>
      <c r="M22">
        <v>5105.26</v>
      </c>
      <c r="N22">
        <v>5234.83</v>
      </c>
      <c r="O22">
        <v>4975.68</v>
      </c>
      <c r="P22">
        <v>5442.15</v>
      </c>
      <c r="Q22">
        <v>5701.3</v>
      </c>
      <c r="R22">
        <v>55</v>
      </c>
      <c r="S22" t="s">
        <v>71</v>
      </c>
    </row>
    <row r="23" spans="1:19" x14ac:dyDescent="0.2">
      <c r="A23" t="s">
        <v>93</v>
      </c>
      <c r="B23" s="2">
        <v>46017</v>
      </c>
      <c r="C23">
        <v>142.19</v>
      </c>
      <c r="D23">
        <v>140.35</v>
      </c>
      <c r="E23">
        <v>-1.29</v>
      </c>
      <c r="F23">
        <v>54.39</v>
      </c>
      <c r="G23">
        <v>-2.14</v>
      </c>
      <c r="H23">
        <v>149.97999999999999</v>
      </c>
      <c r="I23">
        <v>-5.19</v>
      </c>
      <c r="J23">
        <v>0.17</v>
      </c>
      <c r="K23">
        <v>0.56999999999999995</v>
      </c>
      <c r="L23" t="s">
        <v>20</v>
      </c>
      <c r="M23">
        <v>148.47999999999999</v>
      </c>
      <c r="N23">
        <v>143.61000000000001</v>
      </c>
      <c r="O23">
        <v>136.5</v>
      </c>
      <c r="P23">
        <v>149.30000000000001</v>
      </c>
      <c r="Q23">
        <v>156.41</v>
      </c>
      <c r="R23">
        <v>10</v>
      </c>
      <c r="S23" t="s">
        <v>71</v>
      </c>
    </row>
    <row r="24" spans="1:19" x14ac:dyDescent="0.2">
      <c r="A24" t="s">
        <v>94</v>
      </c>
      <c r="B24" s="2">
        <v>46017</v>
      </c>
      <c r="C24">
        <v>1418.2</v>
      </c>
      <c r="D24">
        <v>1415.7</v>
      </c>
      <c r="E24">
        <v>-0.18</v>
      </c>
      <c r="F24">
        <v>37.729999999999997</v>
      </c>
      <c r="G24">
        <v>-6.66</v>
      </c>
      <c r="H24">
        <v>1447.09</v>
      </c>
      <c r="I24">
        <v>-2</v>
      </c>
      <c r="J24">
        <v>0.46</v>
      </c>
      <c r="K24">
        <v>0.32</v>
      </c>
      <c r="L24" t="s">
        <v>20</v>
      </c>
      <c r="M24">
        <v>1432.62</v>
      </c>
      <c r="N24">
        <v>1432.38</v>
      </c>
      <c r="O24">
        <v>1361.47</v>
      </c>
      <c r="P24">
        <v>1489.11</v>
      </c>
      <c r="Q24">
        <v>1560.02</v>
      </c>
      <c r="R24">
        <v>20</v>
      </c>
      <c r="S24" t="s">
        <v>71</v>
      </c>
    </row>
    <row r="25" spans="1:19" x14ac:dyDescent="0.2">
      <c r="A25" t="s">
        <v>95</v>
      </c>
      <c r="B25" s="2">
        <v>46017</v>
      </c>
      <c r="C25">
        <v>1950</v>
      </c>
      <c r="D25">
        <v>1945.7</v>
      </c>
      <c r="E25">
        <v>-0.22</v>
      </c>
      <c r="F25">
        <v>52.13</v>
      </c>
      <c r="G25">
        <v>-3.08</v>
      </c>
      <c r="H25">
        <v>1980.41</v>
      </c>
      <c r="I25">
        <v>-1.54</v>
      </c>
      <c r="J25">
        <v>0.43</v>
      </c>
      <c r="K25">
        <v>0.28999999999999998</v>
      </c>
      <c r="L25" t="s">
        <v>20</v>
      </c>
      <c r="M25">
        <v>1960.61</v>
      </c>
      <c r="N25">
        <v>1969.5</v>
      </c>
      <c r="O25">
        <v>1872</v>
      </c>
      <c r="P25">
        <v>2047.5</v>
      </c>
      <c r="Q25">
        <v>2145</v>
      </c>
      <c r="R25">
        <v>30</v>
      </c>
      <c r="S25" t="s">
        <v>71</v>
      </c>
    </row>
    <row r="26" spans="1:19" x14ac:dyDescent="0.2">
      <c r="A26" t="s">
        <v>96</v>
      </c>
      <c r="B26" s="2">
        <v>46017</v>
      </c>
      <c r="C26">
        <v>1458.6</v>
      </c>
      <c r="D26">
        <v>1458.9</v>
      </c>
      <c r="E26">
        <v>0.02</v>
      </c>
      <c r="F26">
        <v>45</v>
      </c>
      <c r="G26">
        <v>-4.75</v>
      </c>
      <c r="H26">
        <v>1467.7</v>
      </c>
      <c r="I26">
        <v>-0.62</v>
      </c>
      <c r="J26">
        <v>0.37</v>
      </c>
      <c r="K26">
        <v>0.92</v>
      </c>
      <c r="L26" t="s">
        <v>20</v>
      </c>
      <c r="M26">
        <v>1453.02</v>
      </c>
      <c r="N26">
        <v>1473.19</v>
      </c>
      <c r="O26">
        <v>1400.26</v>
      </c>
      <c r="P26">
        <v>1531.53</v>
      </c>
      <c r="Q26">
        <v>1604.46</v>
      </c>
      <c r="R26">
        <v>20</v>
      </c>
      <c r="S26" t="s">
        <v>71</v>
      </c>
    </row>
    <row r="27" spans="1:19" x14ac:dyDescent="0.2">
      <c r="A27" t="s">
        <v>97</v>
      </c>
      <c r="B27" s="2">
        <v>46017</v>
      </c>
      <c r="C27">
        <v>354.6</v>
      </c>
      <c r="D27">
        <v>350.6</v>
      </c>
      <c r="E27">
        <v>-1.1299999999999999</v>
      </c>
      <c r="F27">
        <v>40.39</v>
      </c>
      <c r="G27">
        <v>-4.2699999999999996</v>
      </c>
      <c r="H27">
        <v>365.48</v>
      </c>
      <c r="I27">
        <v>-2.98</v>
      </c>
      <c r="J27">
        <v>0.93</v>
      </c>
      <c r="K27">
        <v>0.44</v>
      </c>
      <c r="L27" t="s">
        <v>20</v>
      </c>
      <c r="M27">
        <v>361.83</v>
      </c>
      <c r="N27">
        <v>358.15</v>
      </c>
      <c r="O27">
        <v>340.42</v>
      </c>
      <c r="P27">
        <v>372.33</v>
      </c>
      <c r="Q27">
        <v>390.06</v>
      </c>
      <c r="R27">
        <v>0</v>
      </c>
      <c r="S27" t="s">
        <v>71</v>
      </c>
    </row>
    <row r="28" spans="1:19" x14ac:dyDescent="0.2">
      <c r="A28" t="s">
        <v>98</v>
      </c>
      <c r="B28" s="2">
        <v>46017</v>
      </c>
      <c r="C28">
        <v>120.37</v>
      </c>
      <c r="D28">
        <v>120.65</v>
      </c>
      <c r="E28">
        <v>0.23</v>
      </c>
      <c r="F28">
        <v>58.78</v>
      </c>
      <c r="G28">
        <v>-0.13</v>
      </c>
      <c r="H28">
        <v>121.1</v>
      </c>
      <c r="I28">
        <v>-0.6</v>
      </c>
      <c r="J28">
        <v>0.67</v>
      </c>
      <c r="K28">
        <v>1.25</v>
      </c>
      <c r="L28" t="s">
        <v>30</v>
      </c>
      <c r="M28">
        <v>119.89</v>
      </c>
      <c r="N28">
        <v>121.57</v>
      </c>
      <c r="O28">
        <v>115.56</v>
      </c>
      <c r="P28">
        <v>126.39</v>
      </c>
      <c r="Q28">
        <v>132.41</v>
      </c>
      <c r="R28">
        <v>38</v>
      </c>
      <c r="S28" t="s">
        <v>71</v>
      </c>
    </row>
    <row r="29" spans="1:19" x14ac:dyDescent="0.2">
      <c r="A29" t="s">
        <v>99</v>
      </c>
      <c r="B29" s="2">
        <v>46017</v>
      </c>
      <c r="C29">
        <v>357.1</v>
      </c>
      <c r="D29">
        <v>354.05</v>
      </c>
      <c r="E29">
        <v>-0.85</v>
      </c>
      <c r="F29">
        <v>44.71</v>
      </c>
      <c r="G29">
        <v>-0.08</v>
      </c>
      <c r="H29">
        <v>357.9</v>
      </c>
      <c r="I29">
        <v>-0.22</v>
      </c>
      <c r="J29">
        <v>0.85</v>
      </c>
      <c r="K29">
        <v>0.67</v>
      </c>
      <c r="L29" t="s">
        <v>20</v>
      </c>
      <c r="M29">
        <v>354.32</v>
      </c>
      <c r="N29">
        <v>360.67</v>
      </c>
      <c r="O29">
        <v>342.82</v>
      </c>
      <c r="P29">
        <v>374.96</v>
      </c>
      <c r="Q29">
        <v>392.81</v>
      </c>
      <c r="R29">
        <v>20</v>
      </c>
      <c r="S29" t="s">
        <v>71</v>
      </c>
    </row>
    <row r="30" spans="1:19" x14ac:dyDescent="0.2">
      <c r="A30" t="s">
        <v>100</v>
      </c>
      <c r="B30" s="2">
        <v>46017</v>
      </c>
      <c r="C30">
        <v>26420</v>
      </c>
      <c r="D30">
        <v>26230</v>
      </c>
      <c r="E30">
        <v>-0.72</v>
      </c>
      <c r="F30">
        <v>38.1</v>
      </c>
      <c r="G30">
        <v>-303.29000000000002</v>
      </c>
      <c r="H30">
        <v>26818.89</v>
      </c>
      <c r="I30">
        <v>-1.49</v>
      </c>
      <c r="J30">
        <v>0.88</v>
      </c>
      <c r="K30">
        <v>0.75</v>
      </c>
      <c r="L30" t="s">
        <v>20</v>
      </c>
      <c r="M30">
        <v>26550.7</v>
      </c>
      <c r="N30">
        <v>26684.2</v>
      </c>
      <c r="O30">
        <v>25363.200000000001</v>
      </c>
      <c r="P30">
        <v>27741</v>
      </c>
      <c r="Q30">
        <v>29062</v>
      </c>
      <c r="R30">
        <v>20</v>
      </c>
      <c r="S30" t="s">
        <v>71</v>
      </c>
    </row>
    <row r="31" spans="1:19" x14ac:dyDescent="0.2">
      <c r="A31" t="s">
        <v>101</v>
      </c>
      <c r="B31" s="2">
        <v>46017</v>
      </c>
      <c r="C31">
        <v>3634.1</v>
      </c>
      <c r="D31">
        <v>3583.6</v>
      </c>
      <c r="E31">
        <v>-1.39</v>
      </c>
      <c r="F31">
        <v>65.849999999999994</v>
      </c>
      <c r="G31">
        <v>-10.45</v>
      </c>
      <c r="H31">
        <v>3554.59</v>
      </c>
      <c r="I31">
        <v>2.2400000000000002</v>
      </c>
      <c r="J31">
        <v>0.46</v>
      </c>
      <c r="K31">
        <v>0.61</v>
      </c>
      <c r="L31" t="s">
        <v>20</v>
      </c>
      <c r="M31">
        <v>3579.59</v>
      </c>
      <c r="N31">
        <v>3670.44</v>
      </c>
      <c r="O31">
        <v>3447.95</v>
      </c>
      <c r="P31">
        <v>3815.81</v>
      </c>
      <c r="Q31">
        <v>3997.51</v>
      </c>
      <c r="R31">
        <v>40</v>
      </c>
      <c r="S31" t="s">
        <v>71</v>
      </c>
    </row>
    <row r="32" spans="1:19" x14ac:dyDescent="0.2">
      <c r="A32" t="s">
        <v>102</v>
      </c>
      <c r="B32" s="2">
        <v>46017</v>
      </c>
      <c r="C32">
        <v>1623.9</v>
      </c>
      <c r="D32">
        <v>1607.5</v>
      </c>
      <c r="E32">
        <v>-1.01</v>
      </c>
      <c r="F32">
        <v>29.92</v>
      </c>
      <c r="G32">
        <v>-13.87</v>
      </c>
      <c r="H32">
        <v>1719.54</v>
      </c>
      <c r="I32">
        <v>-5.56</v>
      </c>
      <c r="J32">
        <v>0.26</v>
      </c>
      <c r="K32">
        <v>0.19</v>
      </c>
      <c r="L32" t="s">
        <v>20</v>
      </c>
      <c r="M32">
        <v>1702.34</v>
      </c>
      <c r="N32">
        <v>1640.14</v>
      </c>
      <c r="O32">
        <v>1558.94</v>
      </c>
      <c r="P32">
        <v>1705.1</v>
      </c>
      <c r="Q32">
        <v>1786.29</v>
      </c>
      <c r="R32">
        <v>0</v>
      </c>
      <c r="S32" t="s">
        <v>71</v>
      </c>
    </row>
    <row r="33" spans="1:19" x14ac:dyDescent="0.2">
      <c r="A33" t="s">
        <v>103</v>
      </c>
      <c r="B33" s="2">
        <v>46017</v>
      </c>
      <c r="C33">
        <v>91.21</v>
      </c>
      <c r="D33">
        <v>90.74</v>
      </c>
      <c r="E33">
        <v>-0.52</v>
      </c>
      <c r="F33">
        <v>33.64</v>
      </c>
      <c r="G33">
        <v>-1.56</v>
      </c>
      <c r="H33">
        <v>97.76</v>
      </c>
      <c r="I33">
        <v>-6.7</v>
      </c>
      <c r="J33">
        <v>0.78</v>
      </c>
      <c r="K33">
        <v>0.39</v>
      </c>
      <c r="L33" t="s">
        <v>20</v>
      </c>
      <c r="M33">
        <v>96.78</v>
      </c>
      <c r="N33">
        <v>92.12</v>
      </c>
      <c r="O33">
        <v>87.56</v>
      </c>
      <c r="P33">
        <v>95.77</v>
      </c>
      <c r="Q33">
        <v>100.33</v>
      </c>
      <c r="R33">
        <v>0</v>
      </c>
      <c r="S33" t="s">
        <v>71</v>
      </c>
    </row>
    <row r="34" spans="1:19" x14ac:dyDescent="0.2">
      <c r="A34" t="s">
        <v>104</v>
      </c>
      <c r="B34" s="2">
        <v>46017</v>
      </c>
      <c r="C34">
        <v>911.55</v>
      </c>
      <c r="D34">
        <v>902.75</v>
      </c>
      <c r="E34">
        <v>-0.97</v>
      </c>
      <c r="F34">
        <v>40.44</v>
      </c>
      <c r="G34">
        <v>-9.4600000000000009</v>
      </c>
      <c r="H34">
        <v>942.65</v>
      </c>
      <c r="I34">
        <v>-3.3</v>
      </c>
      <c r="J34">
        <v>0.43</v>
      </c>
      <c r="K34">
        <v>0.45</v>
      </c>
      <c r="L34" t="s">
        <v>20</v>
      </c>
      <c r="M34">
        <v>933.22</v>
      </c>
      <c r="N34">
        <v>920.67</v>
      </c>
      <c r="O34">
        <v>875.09</v>
      </c>
      <c r="P34">
        <v>957.13</v>
      </c>
      <c r="Q34">
        <v>1002.7</v>
      </c>
      <c r="R34">
        <v>0</v>
      </c>
      <c r="S34"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Top 20 Momentum</vt:lpstr>
      <vt:lpstr>Confirmed Momentum</vt:lpstr>
      <vt:lpstr>Early Momentum</vt:lpstr>
      <vt:lpstr>No Signal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Sanjay Madhwal</cp:lastModifiedBy>
  <dcterms:created xsi:type="dcterms:W3CDTF">2025-12-29T07:27:20Z</dcterms:created>
  <dcterms:modified xsi:type="dcterms:W3CDTF">2026-01-04T08:55:05Z</dcterms:modified>
</cp:coreProperties>
</file>